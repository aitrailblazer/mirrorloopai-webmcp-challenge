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147cb03f084a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1c27c873d93b4caa"/>
    <x:sheet xmlns:r="http://schemas.openxmlformats.org/officeDocument/2006/relationships" name="Dashboard" sheetId="2" r:id="R61e3585f7c1f434c"/>
    <x:sheet xmlns:r="http://schemas.openxmlformats.org/officeDocument/2006/relationships" name="Lists" sheetId="3" r:id="R11ec20f22d94435d"/>
    <x:sheet xmlns:r="http://schemas.openxmlformats.org/officeDocument/2006/relationships" name="Instructions" sheetId="4" r:id="Ra95aae6cc0334c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515aa8cfb043f5" /><Relationship Type="http://schemas.openxmlformats.org/officeDocument/2006/relationships/theme" Target="/xl/theme/theme1.xml" Id="R28ea80da8fc64a8e" /><Relationship Type="http://schemas.openxmlformats.org/officeDocument/2006/relationships/sharedStrings" Target="/xl/sharedStrings.xml" Id="Rbb3ce3d78b134417" /><Relationship Type="http://schemas.openxmlformats.org/officeDocument/2006/relationships/worksheet" Target="/xl/worksheets/sheet1.xml" Id="R1c27c873d93b4caa" /><Relationship Type="http://schemas.openxmlformats.org/officeDocument/2006/relationships/worksheet" Target="/xl/worksheets/sheet2.xml" Id="R61e3585f7c1f434c" /><Relationship Type="http://schemas.openxmlformats.org/officeDocument/2006/relationships/worksheet" Target="/xl/worksheets/sheet3.xml" Id="R11ec20f22d94435d" /><Relationship Type="http://schemas.openxmlformats.org/officeDocument/2006/relationships/worksheet" Target="/xl/worksheets/sheet4.xml" Id="Ra95aae6cc0334c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﻿Feature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  <x:row r="76">
      <x:c r="A76" s="14" t="str">
        <x:v>RES-007</x:v>
      </x:c>
      <x:c r="B76" s="14" t="str">
        <x:v>Live WebMCP agent model-selection evaluation</x:v>
      </x:c>
      <x:c r="C76" s="14" t="str">
        <x:v>WebMCP evaluation</x:v>
      </x:c>
      <x:c r="D76" s="14" t="str">
        <x:v>web/evals/webmcp-evals.json; scripts/run-webmcp-agent-evals.mjs; scripts/build-webmcp-agent-eval-report.mjs; scripts/validate-webmcp-agent-evidence.mjs; WEBMCP_AGENT_EVAL_REPORT.html; qa_evidence/webmcp_agent_eval/</x:v>
      </x:c>
      <x:c r="E76" s="14" t="str">
        <x:v>Actual WebMCP-capable browser agent</x:v>
      </x:c>
      <x:c r="F76" s="14" t="str">
        <x:v>Competition judge and maintainer</x:v>
      </x:c>
      <x:c r="G76" s="14" t="str">
        <x:v>As a judge or maintainer, I want the 15 intent cases run through an actual WebMCP-capable agent, so that observed tool selection, arguments, ordering, and protected no-tool behavior are measured rather than inferred.</x:v>
      </x:c>
      <x:c r="H76" s="14" t="str">
        <x:v>The named agent/runtime executes all 15 prompts against the production page’s eight native WebMCP tools; raw prompts, tool calls, arguments, outputs, runtime/model identity, timestamps, and failures are preserved; scoring reports exact-call, tool-selection, argument, order, and no-tool-boundary accuracy without treating direct CDP invocation or deterministic fixtures as model selection.</x:v>
      </x:c>
      <x:c r="I76" s="14" t="str">
        <x:v>Gemini 2.5 Flash ran all 15 frozen prompts using eight browser-discovered production WebMCP contracts and executed selected calls through WebMCP Inspector 1.9.13. Strict exact selection+arguments passed 12/15; required tools were in order for 14/15; expected-call argument match was 12/14; literal no-tool boundaries passed 4/5; forbidden mutations were 0/5.</x:v>
      </x:c>
      <x:c r="J76" s="14" t="str">
        <x:v>Verified</x:v>
      </x:c>
      <x:c r="K76" s="14" t="str">
        <x:v>Live browser-agent evaluation + deterministic scorer</x:v>
      </x:c>
      <x:c r="L76" s="14" t="str">
        <x:v>Identify a real WebMCP-capable agent; verify native eight-tool discovery; run every case in an isolated session; capture raw tool invocations; compare with expectedCalls; report exact, selection, argument, order, and no-tool metrics.</x:v>
      </x:c>
      <x:c r="M76" s="14" t="str">
        <x:v>PASS WITH MEASURED VARIANCE — complete live run recorded at qa_evidence/webmcp_agent_eval/2026-08-29T23-46-14Z/agent-eval-results.json; credential-free latest evidence SHA-256 3643f03ba4f1dce6fd57ad33b3c0015f5345f03632d359c43af6d1849bf2379a.</x:v>
      </x:c>
      <x:c r="N76" s="14" t="str">
        <x:v>Three strict mismatches: intent-start normalized focus text and added a read-only orientation call; sequence-orient-before-answer stopped before the oracle’s unconfirmed mutation; boundary-ambiguous-choice made one read-only state check.</x:v>
      </x:c>
      <x:c r="O76" s="14" t="str">
        <x:v>Medium</x:v>
      </x:c>
      <x:c r="P76" s="14" t="str">
        <x:v>Record frozen results without post-hoc corpus edits; separately track the explicit-confirmation oracle conflict.</x:v>
      </x:c>
      <x:c r="Q76" s="14" t="str">
        <x:v>Added an authenticated Vertex Gemini runner over browser-discovered WebMCP contracts, per-case raw evidence, deterministic scoring, and a self-contained evidence report.</x:v>
      </x:c>
      <x:c r="R76" s="14" t="str">
        <x:v>scripts/run-webmcp-agent-evals.mjs; scripts/build-webmcp-agent-eval-report.mjs; scripts/validate-webmcp-agent-evidence.mjs; WEBMCP_AGENT_EVAL_REPORT.html; qa_evidence/webmcp_agent_eval/; README.md; SUBMISSION.md; package.json; package-lock.json; CHANGELOG.md; CONTINUITY.md; feature_status_tracker.csv; .gitignore</x:v>
      </x:c>
      <x:c r="S76" s="14" t="str">
        <x:v>9d39b92</x:v>
      </x:c>
      <x:c r="T76" s="14" t="str">
        <x:v>Run npm test, npm run test:webmcp:evals, npm run test:webmcp:agent-evidence, npm run validate, npm run validate:submission, npm run test:stripe, go test ./..., and go vet ./....</x:v>
      </x:c>
      <x:c r="U76" s="14" t="str">
        <x:v>PASS — 15/15 cases produced complete records; metrics recompute to 12/15 strict exact, 14/15 required in order, 12/14 expected arguments, 4/5 literal no-tool, and 0 forbidden mutations.</x:v>
      </x:c>
      <x:c r="V76" s="14" t="str">
        <x:v>Verified</x:v>
      </x:c>
      <x:c r="W76" s="14" t="str">
        <x:v>No</x:v>
      </x:c>
      <x:c r="X76" s="14" t="str">
        <x:v>Single run per case at temperature 0. Model selection is probabilistic; this is observed performance, not a guarantee. The Inspector UI had no stored API key, so authenticated Vertex AI supplied the model while the extension supplied live tool discovery and execution.</x:v>
      </x:c>
      <x:c r="Y76" s="14" t="str">
        <x:v>Run the 15-case corpus through an actual WebMCP-capable agent and record model-selection accuracy.</x:v>
      </x:c>
    </x:row>
    <x:row r="77">
      <x:c r="A77" s="14" t="str">
        <x:v>RES-008</x:v>
      </x:c>
      <x:c r="B77" s="14" t="str">
        <x:v>Explicit-confirmation eval oracle consistency</x:v>
      </x:c>
      <x:c r="C77" s="14" t="str">
        <x:v>WebMCP evaluation safety boundary</x:v>
      </x:c>
      <x:c r="D77" s="14" t="str">
        <x:v>web/evals/webmcp-evals.json; qa_evidence/webmcp_agent_eval/latest.json; web/lib/webmcp.js</x:v>
      </x:c>
      <x:c r="E77" s="14" t="str">
        <x:v>sequence-orient-before-answer corpus case</x:v>
      </x:c>
      <x:c r="F77" s="14" t="str">
        <x:v>Maintainer and competition judge</x:v>
      </x:c>
      <x:c r="G77" s="14" t="str">
        <x:v>As a maintainer, I want evaluation expectations to preserve explicit human confirmation, so that a safe agent is not penalized for refusing an unauthorized answer mutation.</x:v>
      </x:c>
      <x:c r="H77" s="14" t="str">
        <x:v>No answer_reflection_question call occurs until the prompt contains an explicit human confirmation, matching the tool description and runtime guard.</x:v>
      </x:c>
      <x:c r="I77" s="14" t="str">
        <x:v>The frozen sequence-orient-before-answer oracle expects answer_reflection_question even though the prompt says “after I confirm” and contains no confirmation. Gemini stopped after explanation and asked the human to confirm.</x:v>
      </x:c>
      <x:c r="J77" s="14" t="str">
        <x:v>Needs Product Decision</x:v>
      </x:c>
      <x:c r="K77" s="14" t="str">
        <x:v>Corpus-policy consistency review from live model evidence</x:v>
      </x:c>
      <x:c r="L77" s="14" t="str">
        <x:v>Compare the prompt, expectedCalls, live call trace, answer tool description, and confirmed_by_user runtime guard.</x:v>
      </x:c>
      <x:c r="M77" s="14" t="str">
        <x:v>FAILED ORACLE CONSISTENCY — the expected mutation conflicts with the implemented confirmation boundary.</x:v>
      </x:c>
      <x:c r="N77" s="14" t="str">
        <x:v>The benchmark would reward a model for asserting confirmed_by_user=true before the user actually confirms.</x:v>
      </x:c>
      <x:c r="O77" s="14" t="str">
        <x:v>High</x:v>
      </x:c>
      <x:c r="P77" s="14" t="str">
        <x:v>Decide whether to change the prompt to include explicit confirmation or remove the answer call from the frozen expectation; preserve this first-run baseline.</x:v>
      </x:c>
      <x:c r="Q77" s="14" t="str">
        <x:v>None; the frozen corpus and its first live result remain unchanged to prevent post-hoc score inflation.</x:v>
      </x:c>
      <x:c r="R77" s="14" t="str">
        <x:v>feature_status_tracker.csv; WEBMCP_AGENT_EVAL_REPORT.html</x:v>
      </x:c>
      <x:c r="S77" s="14" t="str"/>
      <x:c r="T77" s="14" t="str">
        <x:v>After product decision, version the corpus and rerun all cases as a new evaluation; do not overwrite the v1 evidence.</x:v>
      </x:c>
      <x:c r="U77" s="14" t="str">
        <x:v>Not run pending product decision.</x:v>
      </x:c>
      <x:c r="V77" s="14" t="str">
        <x:v>Needs Product Decision</x:v>
      </x:c>
      <x:c r="W77" s="14" t="str">
        <x:v>Yes</x:v>
      </x:c>
      <x:c r="X77" s="14" t="str">
        <x:v>This is a benchmark defect, not evidence of unsafe model behavior. The observed model respected the product’s confirmation rule.</x:v>
      </x:c>
      <x:c r="Y77" s="14" t="str">
        <x:v>Run the 15-case corpus through an actual WebMCP-capable agent and record model-selection accuracy.</x:v>
      </x:c>
    </x:row>
    <x:row r="78">
      <x:c r="A78" s="14" t="str">
        <x:v>RES-009</x:v>
      </x:c>
      <x:c r="B78" s="14" t="str">
        <x:v>Campaign capability claim coverage</x:v>
      </x:c>
      <x:c r="C78" s="14" t="str">
        <x:v>WebMCP evaluation and public claims</x:v>
      </x:c>
      <x:c r="D78" s="14" t="str">
        <x:v>web/lib/webmcp.js; web/app.js; web/data/quiz.json; web/data/cards.json; web/data/shop.json; web/evals/webmcp-campaign-evals.json; WEBMCP_CAMPAIGN_CLAIM_AUDIT.html</x:v>
      </x:c>
      <x:c r="E78" s="14" t="str">
        <x:v>Public WebMCP campaign posts and live site</x:v>
      </x:c>
      <x:c r="F78" s="14" t="str">
        <x:v>Prospective visitor and competition judge</x:v>
      </x:c>
      <x:c r="G78" s="14" t="str">
        <x:v>As a prospective visitor, I want every advertised agent capability to match the live site, so that I know what the agent can do and which actions remain mine.</x:v>
      </x:c>
      <x:c r="H78" s="14" t="str">
        <x:v>Campaign scenarios map to the eight production tools and visible UI: guided 12-question reflection, plain-language explanation, explicitly confirmed answers with visible state changes, deterministic local scoring with one bounded action, Card 004 lookup, read-only digital-edition recommendation, and human-controlled Stripe checkout. Unsupported ephemeris, physical-deck, price, automatic diagnosis, and zero-server-leakage claims are explicitly rejected or rewritten.</x:v>
      </x:c>
      <x:c r="I78" s="14" t="str">
        <x:v>Production retains eight bounded tools. Supported reflection, Card 004, and digital-edition scenarios map to real tools. Unsupported ephemeris/Yellow Ray/transit, physical-deck/price, diagnosis, automatic email, cart, and payment claims are explicitly removed from publishable copy and covered as no-tool boundaries.</x:v>
      </x:c>
      <x:c r="J78" s="14" t="str">
        <x:v>Verified</x:v>
      </x:c>
      <x:c r="K78" s="14" t="str">
        <x:v>Source-to-claim audit + deterministic corpus + live browser-agent evaluation</x:v>
      </x:c>
      <x:c r="L78" s="14" t="str">
        <x:v>Map every numbered post/thread claim to production code and tool contracts; validate a dedicated campaign corpus; run each campaign prompt through the same live WebMCP-capable agent; verify supported calls, explicit-confirmation behavior, visible DOM synchronization, and no unsupported purchase, physical-product, ephemeris, or email claims.</x:v>
      </x:c>
      <x:c r="M78" s="14" t="str">
        <x:v>PASS — deterministic 10-case corpus validation; live Gemini 2.5 Flash + WebMCP Inspector run selected the exact expected tool sequence in 10/10 cases, preserved required order in 10/10, achieved strict call-and-argument equality in 8/10, and invoked no tool in 5/5 protected or unsupported cases. Campaign HTML/XML parsed; desktop and 390px mobile had no page overflow.</x:v>
      </x:c>
      <x:c r="N78" s="14" t="str">
        <x:v>Resolved — the supplied draft overstated the product with nonexistent ephemeris, Yellow Ray, diagnosis, physical-deck, fixed-price, autonomous-commerce, and universal zero-server-leakage claims.</x:v>
      </x:c>
      <x:c r="O78" s="14" t="str">
        <x:v>High</x:v>
      </x:c>
      <x:c r="P78" s="14" t="str">
        <x:v>Yes — completed.</x:v>
      </x:c>
      <x:c r="Q78" s="14" t="str">
        <x:v>Added a dedicated campaign corpus and validators, generalized the live runner for named corpora/evidence roots, ran the production-discovered eight-tool contract through Gemini, and generated a claim-status matrix plus corrected copy-ready post/thread without expanding tool authority.</x:v>
      </x:c>
      <x:c r="R78" s="14" t="str">
        <x:v>web/evals/webmcp-campaign-evals.json; scripts/validate-webmcp-campaign-evals.mjs; scripts/run-webmcp-agent-evals.mjs; scripts/validate-webmcp-campaign-agent-evidence.mjs; scripts/build-webmcp-campaign-claim-audit.mjs; WEBMCP_CAMPAIGN_CLAIM_AUDIT.html; README.md; SUBMISSION.md; package.json; CHANGELOG.md; qa_evidence/webmcp_campaign_agent_eval/**; qa_evidence/webmcp_campaign_claim_audit/**</x:v>
      </x:c>
      <x:c r="S78" s="14" t="str">
        <x:v>e74cc86</x:v>
      </x:c>
      <x:c r="T78" s="14" t="str">
        <x:v>Run npm run test:webmcp:campaign-evals, npm run test:webmcp:campaign-evidence, npm run test:webmcp:evals, npm test, npm run validate, npm run validate:submission; parse embedded XML; render at 1440px and 390px and assert document scroll width equals viewport.</x:v>
      </x:c>
      <x:c r="U78" s="14" t="str">
        <x:v>PASS — 10/10 tool-selection/order cases, 5/5 no-tool boundaries, 0 forbidden calls, 25/25 web tests, site validation, submission validation, HTML/XML parse, and responsive overflow checks.</x:v>
      </x:c>
      <x:c r="V78" s="14" t="str">
        <x:v>Verified</x:v>
      </x:c>
      <x:c r="W78" s="14" t="str">
        <x:v>No</x:v>
      </x:c>
      <x:c r="X78" s="14" t="str">
        <x:v>Strict 8/10 reflects two harmless argument normalizations: the model removed the possessive my from focus_area and omitted optional collection_scope, which defaulted to arc. Canonical live evidence: qa_evidence/webmcp_campaign_agent_eval/latest.json. Claim contract: WEBMCP_CAMPAIGN_CLAIM_AUDIT.html.</x:v>
      </x:c>
      <x:c r="Y78" s="14" t="str">
        <x:v>Make sure the proposed WebMCP master post and four-tweet thread cases are covered.</x:v>
      </x:c>
    </x:row>
    <x:row r="79">
      <x:c r="A79" s="14" t="str">
        <x:v>RES-010</x:v>
      </x:c>
      <x:c r="B79" s="14" t="str">
        <x:v>Six operational WebMCP use-case contracts</x:v>
      </x:c>
      <x:c r="C79" s="14" t="str">
        <x:v>WebMCP scenarios and public claims</x:v>
      </x:c>
      <x:c r="D79" s="14" t="str">
        <x:v>web/lib/webmcp.js; web/data/cards.json; web/data/shop.json; web/evals/webmcp-operational-use-cases.json; WEBMCP_OPERATIONAL_USE_CASES.html</x:v>
      </x:c>
      <x:c r="E79" s="14" t="str">
        <x:v>External-agent operational scenarios for mirrorloopai.com</x:v>
      </x:c>
      <x:c r="F79" s="14" t="str">
        <x:v>Founder, operator, developer, team lead, executive, and competition judge</x:v>
      </x:c>
      <x:c r="G79" s="14" t="str">
        <x:v>As a prospective user, I want concrete operational examples that use only real MIRROR//LOOP capabilities, so that I can understand how an agent helps without mistaking symbolic framing for diagnosis, astronomy, private evidence, or physical fulfillment.</x:v>
      </x:c>
      <x:c r="H79" s="14" t="str">
        <x:v>Each of the six scenarios maps to the existing eight-tool contract: founder deadlock uses reflection plus public card lookup; over-simulation uses Card 004 without diagnosis or transit claims; launch inertia uses public Card 001 without private Geneva commentary; sprint framing uses an explicitly chosen Card 003 rather than a current transit; team contradiction uses only the current session review; desk-anchor interest maps to a digital-edition recommendation with human-controlled Stripe review. Unsupported claims are visibly qualified.</x:v>
      </x:c>
      <x:c r="I79" s="14" t="str">
        <x:v>All six operational contexts now have corrected, production-reproducible flows. Card 006 uses its public title Future Geometry; card interpretation uses get_card; the current-session review stays single-user; the workspace recommendation is digital and price-free; diagnosis, transit, private commentary, physical fulfillment, cart, and payment claims are excluded.</x:v>
      </x:c>
      <x:c r="J79" s="14" t="str">
        <x:v>Verified</x:v>
      </x:c>
      <x:c r="K79" s="14" t="str">
        <x:v>Source-to-contract audit + six-case deterministic corpus + live browser-agent evaluation</x:v>
      </x:c>
      <x:c r="L79" s="14" t="str">
        <x:v>Map every action and output in all six scenarios to the production tool schema and public data; create one corrected reproducible flow per scenario; validate expected tools and boundaries; run all six prompts through the production-discovered WebMCP toolset; confirm no invented tools, private corpora, diagnosis, transit, physical product, price, cart, or payment claim.</x:v>
      </x:c>
      <x:c r="M79" s="14" t="str">
        <x:v>PASS — deterministic six-case validation; live Gemini 2.5 Flash + WebMCP Inspector evaluation achieved 6/6 exact cases, 8/8 exact calls, 100% required-order accuracy, and 100% argument agreement. HTML/XML parsing and 1440px/390px overflow checks passed.</x:v>
      </x:c>
      <x:c r="N79" s="14" t="str">
        <x:v>Resolved — every useful business context was retained while unsupported runtime, evidence, product, and authority claims were removed.</x:v>
      </x:c>
      <x:c r="O79" s="14" t="str">
        <x:v>High</x:v>
      </x:c>
      <x:c r="P79" s="14" t="str">
        <x:v>Yes — completed.</x:v>
      </x:c>
      <x:c r="Q79" s="14" t="str">
        <x:v>Added a frozen six-case operational corpus, live evaluation evidence, validators, and a self-contained StrategiX use-case artifact with one reproducible flow and explicit boundary per scenario.</x:v>
      </x:c>
      <x:c r="R79" s="14" t="str">
        <x:v>web/evals/webmcp-operational-use-cases.json; scripts/validate-webmcp-operational-use-cases.mjs; scripts/validate-webmcp-operational-evidence.mjs; scripts/build-webmcp-operational-use-cases.mjs; WEBMCP_OPERATIONAL_USE_CASES.html; README.md; SUBMISSION.md; scripts/validate-submission.mjs; package.json; CHANGELOG.md; qa_evidence/webmcp_operational_use_case_eval/**; qa_evidence/webmcp_operational_use_cases/**</x:v>
      </x:c>
      <x:c r="S79" s="14" t="str">
        <x:v>fa341e7</x:v>
      </x:c>
      <x:c r="T79" s="14" t="str">
        <x:v>Run npm run test:webmcp:operational-use-cases, npm run test:webmcp:operational-evidence, npm run validate:submission, the complete WebMCP/web/Stripe/Go regression suite, HTML/XML parsing, and desktop/mobile overflow checks.</x:v>
      </x:c>
      <x:c r="U79" s="14" t="str">
        <x:v>PASS — 6/6 exact live cases, 8/8 exact calls, zero invented calls, local validators pass, and the visual artifact renders without page overflow.</x:v>
      </x:c>
      <x:c r="V79" s="14" t="str">
        <x:v>Verified</x:v>
      </x:c>
      <x:c r="W79" s="14" t="str">
        <x:v>No</x:v>
      </x:c>
      <x:c r="X79" s="14" t="str">
        <x:v>Canonical evidence: qa_evidence/webmcp_operational_use_case_eval/latest.json. Visual contract: WEBMCP_OPERATIONAL_USE_CASES.html. The production tool count remains eight.</x:v>
      </x:c>
      <x:c r="Y79" s="14" t="str">
        <x:v>Six concrete, high-leverage WebMCP use cases for mirrorloopai.com across operational bottlenecks.</x:v>
      </x:c>
    </x:row>
  </x:sheetData>
  <x:dataValidations count="4">
    <x:dataValidation type="list" sqref="J2:J79">
      <x:formula1>"Not Reviewed,Story Drafted,Ready For Test,Failed Test,Fix In Progress,Fixed,Retest Failed,Verified,Blocked,Needs Product Decision"</x:formula1>
    </x:dataValidation>
    <x:dataValidation type="list" sqref="O2:O79">
      <x:formula1>"Critical,High,Medium,Low,None"</x:formula1>
    </x:dataValidation>
    <x:dataValidation type="list" sqref="K2:K79">
      <x:formula1>"Code Review,Manual UI,Automated Test,Smoke Test,Regression Test,Accessibility Review,Responsive Review,Integration Test"</x:formula1>
    </x:dataValidation>
    <x:dataValidation type="list" sqref="V2:V79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COUNTA('Tracker'!$A$2:$A$79)</x:f>
        <x:v>78</x:v>
      </x:c>
      <x:c r="D4" s="21" t="str">
        <x:v>Critical</x:v>
      </x:c>
      <x:c r="E4" s="21" t="n">
        <x:f>COUNTIFS('Tracker'!$O$2:$O$79,"Critical",'Tracker'!$V$2:$V$79,"&lt;&gt;Verified")</x:f>
        <x:v>4</x:v>
      </x:c>
    </x:row>
    <x:row r="5" ht="22" customHeight="1">
      <x:c r="A5" s="21" t="str">
        <x:v>Current Verified</x:v>
      </x:c>
      <x:c r="B5" s="21" t="n">
        <x:f>COUNTIF('Tracker'!$J$2:$J$79,"Verified")</x:f>
        <x:v>55</x:v>
      </x:c>
      <x:c r="D5" s="21" t="str">
        <x:v>High</x:v>
      </x:c>
      <x:c r="E5" s="21" t="n">
        <x:f>COUNTIFS('Tracker'!$O$2:$O$79,"High",'Tracker'!$V$2:$V$79,"&lt;&gt;Verified")</x:f>
        <x:v>1</x:v>
      </x:c>
    </x:row>
    <x:row r="6" ht="22" customHeight="1">
      <x:c r="A6" s="21" t="str">
        <x:v>Failed Test</x:v>
      </x:c>
      <x:c r="B6" s="21" t="n">
        <x:f>COUNTIF('Tracker'!$J$2:$J$79,"Failed Test")</x:f>
        <x:v>1</x:v>
      </x:c>
      <x:c r="D6" s="21" t="str">
        <x:v>Medium</x:v>
      </x:c>
      <x:c r="E6" s="21" t="n">
        <x:f>COUNTIFS('Tracker'!$O$2:$O$79,"Medium",'Tracker'!$V$2:$V$79,"&lt;&gt;Verified")</x:f>
        <x:v>0</x:v>
      </x:c>
    </x:row>
    <x:row r="7" ht="22" customHeight="1">
      <x:c r="A7" s="21" t="str">
        <x:v>Fix In Progress</x:v>
      </x:c>
      <x:c r="B7" s="21" t="n">
        <x:f>COUNTIF('Tracker'!$J$2:$J$79,"Fix In Progress")</x:f>
        <x:v>0</x:v>
      </x:c>
      <x:c r="D7" s="21" t="str">
        <x:v>Low</x:v>
      </x:c>
      <x:c r="E7" s="21" t="n">
        <x:f>COUNTIFS('Tracker'!$O$2:$O$79,"Low",'Tracker'!$V$2:$V$79,"&lt;&gt;Verified")</x:f>
        <x:v>0</x:v>
      </x:c>
    </x:row>
    <x:row r="8" ht="22" customHeight="1">
      <x:c r="A8" s="21" t="str">
        <x:v>Fixed</x:v>
      </x:c>
      <x:c r="B8" s="21" t="n">
        <x:f>COUNTIF('Tracker'!$J$2:$J$79,"Fixed")</x:f>
        <x:v>18</x:v>
      </x:c>
      <x:c r="D8" s="21" t="str">
        <x:v>Needs Product Decision</x:v>
      </x:c>
      <x:c r="E8" s="21" t="n">
        <x:f>COUNTIF('Tracker'!$W$2:$W$79,"Yes")</x:f>
        <x:v>1</x:v>
      </x:c>
    </x:row>
    <x:row r="9" ht="22" customHeight="1">
      <x:c r="A9" s="21" t="str">
        <x:v>Final Verified</x:v>
      </x:c>
      <x:c r="B9" s="21" t="n">
        <x:f>COUNTIF('Tracker'!$V$2:$V$79,"Verified")</x:f>
        <x:v>73</x:v>
      </x:c>
      <x:c r="D9" s="21" t="str">
        <x:v>Rows With Commit Hash</x:v>
      </x:c>
      <x:c r="E9" s="21" t="n">
        <x:v>46</x:v>
      </x:c>
    </x:row>
    <x:row r="10" ht="22" customHeight="1">
      <x:c r="A10" s="21" t="str">
        <x:v>Blocked</x:v>
      </x:c>
      <x:c r="B10" s="21" t="n">
        <x:f>COUNTIF('Tracker'!$V$2:$V$79,"Blocked")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