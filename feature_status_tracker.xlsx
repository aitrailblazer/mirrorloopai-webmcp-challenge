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95273e657144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4218a226c6604944"/>
    <x:sheet xmlns:r="http://schemas.openxmlformats.org/officeDocument/2006/relationships" name="Dashboard" sheetId="2" r:id="Rb75f769a879d4cf2"/>
    <x:sheet xmlns:r="http://schemas.openxmlformats.org/officeDocument/2006/relationships" name="Lists" sheetId="3" r:id="R68c7d69faa2647fe"/>
    <x:sheet xmlns:r="http://schemas.openxmlformats.org/officeDocument/2006/relationships" name="Instructions" sheetId="4" r:id="Ra92decf6343e4d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f998c1c4cc4959" /><Relationship Type="http://schemas.openxmlformats.org/officeDocument/2006/relationships/theme" Target="/xl/theme/theme1.xml" Id="Rdb8199773800478c" /><Relationship Type="http://schemas.openxmlformats.org/officeDocument/2006/relationships/sharedStrings" Target="/xl/sharedStrings.xml" Id="Racff493bdc2b4525" /><Relationship Type="http://schemas.openxmlformats.org/officeDocument/2006/relationships/worksheet" Target="/xl/worksheets/sheet1.xml" Id="R4218a226c6604944" /><Relationship Type="http://schemas.openxmlformats.org/officeDocument/2006/relationships/worksheet" Target="/xl/worksheets/sheet2.xml" Id="Rb75f769a879d4cf2" /><Relationship Type="http://schemas.openxmlformats.org/officeDocument/2006/relationships/worksheet" Target="/xl/worksheets/sheet3.xml" Id="R68c7d69faa2647fe" /><Relationship Type="http://schemas.openxmlformats.org/officeDocument/2006/relationships/worksheet" Target="/xl/worksheets/sheet4.xml" Id="Ra92decf6343e4de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﻿Feature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F-001</x:v>
      </x:c>
      <x:c r="B2" s="14" t="str">
        <x:v>Landing page orientation</x:v>
      </x:c>
      <x:c r="C2" s="14" t="str">
        <x:v>Landing</x:v>
      </x:c>
      <x:c r="D2" s="14" t="str">
        <x:v>web/index.html; web/styles.css</x:v>
      </x:c>
      <x:c r="E2" s="14" t="str">
        <x:v>/</x:v>
      </x:c>
      <x:c r="F2" s="14" t="str">
        <x:v>First-time visitor</x:v>
      </x:c>
      <x:c r="G2" s="14" t="str">
        <x:v>As a first-time visitor, I want to understand MIRROR//LOOP immediately, so that I can decide whether to take the reflection.</x:v>
      </x:c>
      <x:c r="H2" s="14" t="str">
        <x:v>The hero explains a two-minute, non-diagnostic reflection in plain language and presents one primary start action.</x:v>
      </x:c>
      <x:c r="I2" s="14" t="str">
        <x:v>PASS — production landing page and accessibility tree clearly communicate the two-minute reflection and primary CTA. Revalidated by current automated, browser, production, and security gates.</x:v>
      </x:c>
      <x:c r="J2" s="14" t="str">
        <x:v>Verified</x:v>
      </x:c>
      <x:c r="K2" s="14" t="str">
        <x:v>Automated + browser</x:v>
      </x:c>
      <x:c r="L2" s="14" t="str">
        <x:v>Load / at desktop and mobile widths; inspect first viewport, heading, CTA, and copy.</x:v>
      </x:c>
      <x:c r="M2" s="14" t="str">
        <x:v>PASS — production landing page and accessibility tree clearly communicate the two-minute reflection and primary CTA.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" s="14" t="str"/>
      <x:c r="O2" s="14" t="str">
        <x:v>None</x:v>
      </x:c>
      <x:c r="P2" s="14" t="str">
        <x:v>No</x:v>
      </x:c>
      <x:c r="Q2" s="14" t="str">
        <x:v>No change required.</x:v>
      </x:c>
      <x:c r="R2" s="14" t="str"/>
      <x:c r="S2" s="14" t="str"/>
      <x:c r="T2" s="14" t="str">
        <x:v>Repeat the documented test after any tracker-backed fix.</x:v>
      </x:c>
      <x:c r="U2" s="14" t="str">
        <x:v>PASS — production landing page and accessibility tree clearly communicate the two-minute reflection and primary CTA. Revalidated by current automated, browser, production, and security gates.</x:v>
      </x:c>
      <x:c r="V2" s="14" t="str">
        <x:v>Verified</x:v>
      </x:c>
      <x:c r="W2" s="14" t="str">
        <x:v>No</x:v>
      </x:c>
      <x:c r="X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2" s="14" t="str">
        <x:v>Finish the MIRROR//LOOP website; make the quiz immediately understandable; deploy the subscriber magnet on GCP using the authorized $150 credit.</x:v>
      </x:c>
    </x:row>
    <x:row r="3" ht="22" customHeight="1">
      <x:c r="A3" s="14" t="str">
        <x:v>F-002</x:v>
      </x:c>
      <x:c r="B3" s="14" t="str">
        <x:v>Shattered Compass attraction</x:v>
      </x:c>
      <x:c r="C3" s="14" t="str">
        <x:v>Landing</x:v>
      </x:c>
      <x:c r="D3" s="14" t="str">
        <x:v>web/index.html; web/images/shattered-compass-entry.webp</x:v>
      </x:c>
      <x:c r="E3" s="14" t="str">
        <x:v>/ hero</x:v>
      </x:c>
      <x:c r="F3" s="14" t="str">
        <x:v>Curious visitor</x:v>
      </x:c>
      <x:c r="G3" s="14" t="str">
        <x:v>As a curious visitor, I want to see a compelling entry image, so that I understand the visual world before starting.</x:v>
      </x:c>
      <x:c r="H3" s="14" t="str">
        <x:v>The Shattered Compass is visible, meaningfully captioned, optimized, and links to the quiz.</x:v>
      </x:c>
      <x:c r="I3" s="14" t="str">
        <x:v>PASS — production Card 012 image returns 200, has descriptive alternative text and caption, and links to the quiz. Revalidated by current automated, browser, production, and security gates.</x:v>
      </x:c>
      <x:c r="J3" s="14" t="str">
        <x:v>Verified</x:v>
      </x:c>
      <x:c r="K3" s="14" t="str">
        <x:v>Automated + browser</x:v>
      </x:c>
      <x:c r="L3" s="14" t="str">
        <x:v>Load /; verify Shattered Compass image loads, alternative text and caption explain its role, and activation reaches #quiz.</x:v>
      </x:c>
      <x:c r="M3" s="14" t="str">
        <x:v>PASS — production Card 012 image returns 200, has descriptive alternative text and caption, and links to the quiz.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" s="14" t="str"/>
      <x:c r="O3" s="14" t="str">
        <x:v>None</x:v>
      </x:c>
      <x:c r="P3" s="14" t="str">
        <x:v>No</x:v>
      </x:c>
      <x:c r="Q3" s="14" t="str">
        <x:v>No change required.</x:v>
      </x:c>
      <x:c r="R3" s="14" t="str"/>
      <x:c r="S3" s="14" t="str"/>
      <x:c r="T3" s="14" t="str">
        <x:v>Repeat the documented test after any tracker-backed fix.</x:v>
      </x:c>
      <x:c r="U3" s="14" t="str">
        <x:v>PASS — production Card 012 image returns 200, has descriptive alternative text and caption, and links to the quiz. Revalidated by current automated, browser, production, and security gates.</x:v>
      </x:c>
      <x:c r="V3" s="14" t="str">
        <x:v>Verified</x:v>
      </x:c>
      <x:c r="W3" s="14" t="str">
        <x:v>No</x:v>
      </x:c>
      <x:c r="X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3" s="14" t="str">
        <x:v>Finish the MIRROR//LOOP website; make the quiz immediately understandable; deploy the subscriber magnet on GCP using the authorized $150 credit.</x:v>
      </x:c>
    </x:row>
    <x:row r="4" ht="22" customHeight="1">
      <x:c r="A4" s="14" t="str">
        <x:v>F-003</x:v>
      </x:c>
      <x:c r="B4" s="14" t="str">
        <x:v>How the reflection works</x:v>
      </x:c>
      <x:c r="C4" s="14" t="str">
        <x:v>Education</x:v>
      </x:c>
      <x:c r="D4" s="14" t="str">
        <x:v>web/index.html</x:v>
      </x:c>
      <x:c r="E4" s="14" t="str">
        <x:v>/#how-it-works</x:v>
      </x:c>
      <x:c r="F4" s="14" t="str">
        <x:v>Unfamiliar visitor</x:v>
      </x:c>
      <x:c r="G4" s="14" t="str">
        <x:v>As a visitor unfamiliar with the system, I want a simple explanation of the experience, so that I know what my result means.</x:v>
      </x:c>
      <x:c r="H4" s="14" t="str">
        <x:v>Three plain-language steps explain choosing, pattern counting, and reflective—not fixed—interpretation.</x:v>
      </x:c>
      <x:c r="I4" s="14" t="str">
        <x:v>PASS — production page exposes Choose, Notice, and Reflect in plain language. Revalidated by current automated, browser, production, and security gates.</x:v>
      </x:c>
      <x:c r="J4" s="14" t="str">
        <x:v>Verified</x:v>
      </x:c>
      <x:c r="K4" s="14" t="str">
        <x:v>Automated + browser</x:v>
      </x:c>
      <x:c r="L4" s="14" t="str">
        <x:v>Navigate to #how-it-works; verify three steps and non-label framing.</x:v>
      </x:c>
      <x:c r="M4" s="14" t="str">
        <x:v>PASS — production page exposes Choose, Notice, and Reflect in plain language.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4" s="14" t="str"/>
      <x:c r="O4" s="14" t="str">
        <x:v>None</x:v>
      </x:c>
      <x:c r="P4" s="14" t="str">
        <x:v>No</x:v>
      </x:c>
      <x:c r="Q4" s="14" t="str">
        <x:v>No change required.</x:v>
      </x:c>
      <x:c r="R4" s="14" t="str"/>
      <x:c r="S4" s="14" t="str"/>
      <x:c r="T4" s="14" t="str">
        <x:v>Repeat the documented test after any tracker-backed fix.</x:v>
      </x:c>
      <x:c r="U4" s="14" t="str">
        <x:v>PASS — production page exposes Choose, Notice, and Reflect in plain language. Revalidated by current automated, browser, production, and security gates.</x:v>
      </x:c>
      <x:c r="V4" s="14" t="str">
        <x:v>Verified</x:v>
      </x:c>
      <x:c r="W4" s="14" t="str">
        <x:v>No</x:v>
      </x:c>
      <x:c r="X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4" s="14" t="str">
        <x:v>Finish the MIRROR//LOOP website; make the quiz immediately understandable; deploy the subscriber magnet on GCP using the authorized $150 credit.</x:v>
      </x:c>
    </x:row>
    <x:row r="5" ht="22" customHeight="1">
      <x:c r="A5" s="14" t="str">
        <x:v>F-004</x:v>
      </x:c>
      <x:c r="B5" s="14" t="str">
        <x:v>Quiz entry</x:v>
      </x:c>
      <x:c r="C5" s="14" t="str">
        <x:v>Quiz</x:v>
      </x:c>
      <x:c r="D5" s="14" t="str">
        <x:v>web/index.html; web/app.js</x:v>
      </x:c>
      <x:c r="E5" s="14" t="str">
        <x:v>/#quiz</x:v>
      </x:c>
      <x:c r="F5" s="14" t="str">
        <x:v>Quiz participant</x:v>
      </x:c>
      <x:c r="G5" s="14" t="str">
        <x:v>As a participant, I want to begin the quiz confidently, so that I know its length and that there are no right answers.</x:v>
      </x:c>
      <x:c r="H5" s="14" t="str">
        <x:v>Start state states 12 questions, gives selection guidance, and opens question 1.</x:v>
      </x:c>
      <x:c r="I5" s="14" t="str">
        <x:v>PASS — browser activation opens Question 1 of 12 and moves focus to the question heading. Revalidated by current automated, browser, production, and security gates.</x:v>
      </x:c>
      <x:c r="J5" s="14" t="str">
        <x:v>Verified</x:v>
      </x:c>
      <x:c r="K5" s="14" t="str">
        <x:v>Automated + browser</x:v>
      </x:c>
      <x:c r="L5" s="14" t="str">
        <x:v>Activate start button; verify question 1, focus, and question count.</x:v>
      </x:c>
      <x:c r="M5" s="14" t="str">
        <x:v>PASS — browser activation opens Question 1 of 12 and moves focus to the question heading.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5" s="14" t="str"/>
      <x:c r="O5" s="14" t="str">
        <x:v>None</x:v>
      </x:c>
      <x:c r="P5" s="14" t="str">
        <x:v>No</x:v>
      </x:c>
      <x:c r="Q5" s="14" t="str">
        <x:v>No change required.</x:v>
      </x:c>
      <x:c r="R5" s="14" t="str"/>
      <x:c r="S5" s="14" t="str"/>
      <x:c r="T5" s="14" t="str">
        <x:v>Repeat the documented test after any tracker-backed fix.</x:v>
      </x:c>
      <x:c r="U5" s="14" t="str">
        <x:v>PASS — browser activation opens Question 1 of 12 and moves focus to the question heading. Revalidated by current automated, browser, production, and security gates.</x:v>
      </x:c>
      <x:c r="V5" s="14" t="str">
        <x:v>Verified</x:v>
      </x:c>
      <x:c r="W5" s="14" t="str">
        <x:v>No</x:v>
      </x:c>
      <x:c r="X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5" s="14" t="str">
        <x:v>Finish the MIRROR//LOOP website; make the quiz immediately understandable; deploy the subscriber magnet on GCP using the authorized $150 credit.</x:v>
      </x:c>
    </x:row>
    <x:row r="6" ht="22" customHeight="1">
      <x:c r="A6" s="14" t="str">
        <x:v>F-005</x:v>
      </x:c>
      <x:c r="B6" s="14" t="str">
        <x:v>Question answering and progress</x:v>
      </x:c>
      <x:c r="C6" s="14" t="str">
        <x:v>Quiz</x:v>
      </x:c>
      <x:c r="D6" s="14" t="str">
        <x:v>web/app.js; web/data/quiz.json; web/styles.css</x:v>
      </x:c>
      <x:c r="E6" s="14" t="str">
        <x:v>Quiz panel</x:v>
      </x:c>
      <x:c r="F6" s="14" t="str">
        <x:v>Quiz participant</x:v>
      </x:c>
      <x:c r="G6" s="14" t="str">
        <x:v>As a participant, I want to answer each question and see my progress, so that I can complete the reflection without confusion.</x:v>
      </x:c>
      <x:c r="H6" s="14" t="str">
        <x:v>Exactly 12 questions render with 12 distinct choices, clear progress, one selection per question, and a disabled Next action until selection.</x:v>
      </x:c>
      <x:c r="I6" s="14" t="str">
        <x:v>PASS — browser completed all 12 questions with correct progress and Next gating. Revalidated by current automated, browser, production, and security gates.</x:v>
      </x:c>
      <x:c r="J6" s="14" t="str">
        <x:v>Verified</x:v>
      </x:c>
      <x:c r="K6" s="14" t="str">
        <x:v>Automated + browser</x:v>
      </x:c>
      <x:c r="L6" s="14" t="str">
        <x:v>Complete all 12 questions; verify progress, selection, Next gating, and final action.</x:v>
      </x:c>
      <x:c r="M6" s="14" t="str">
        <x:v>PASS — browser completed all 12 questions with correct progress and Next gating.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6" s="14" t="str"/>
      <x:c r="O6" s="14" t="str">
        <x:v>None</x:v>
      </x:c>
      <x:c r="P6" s="14" t="str">
        <x:v>No</x:v>
      </x:c>
      <x:c r="Q6" s="14" t="str">
        <x:v>No change required.</x:v>
      </x:c>
      <x:c r="R6" s="14" t="str"/>
      <x:c r="S6" s="14" t="str"/>
      <x:c r="T6" s="14" t="str">
        <x:v>Repeat the documented test after any tracker-backed fix.</x:v>
      </x:c>
      <x:c r="U6" s="14" t="str">
        <x:v>PASS — browser completed all 12 questions with correct progress and Next gating. Revalidated by current automated, browser, production, and security gates.</x:v>
      </x:c>
      <x:c r="V6" s="14" t="str">
        <x:v>Verified</x:v>
      </x:c>
      <x:c r="W6" s="14" t="str">
        <x:v>No</x:v>
      </x:c>
      <x:c r="X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6" s="14" t="str">
        <x:v>Finish the MIRROR//LOOP website; make the quiz immediately understandable; deploy the subscriber magnet on GCP using the authorized $150 credit.</x:v>
      </x:c>
    </x:row>
    <x:row r="7" ht="22" customHeight="1">
      <x:c r="A7" s="14" t="str">
        <x:v>F-006</x:v>
      </x:c>
      <x:c r="B7" s="14" t="str">
        <x:v>Back navigation and answer revision</x:v>
      </x:c>
      <x:c r="C7" s="14" t="str">
        <x:v>Quiz</x:v>
      </x:c>
      <x:c r="D7" s="14" t="str">
        <x:v>web/app.js</x:v>
      </x:c>
      <x:c r="E7" s="14" t="str">
        <x:v>Quiz panel Back button</x:v>
      </x:c>
      <x:c r="F7" s="14" t="str">
        <x:v>Quiz participant</x:v>
      </x:c>
      <x:c r="G7" s="14" t="str">
        <x:v>As a participant, I want to return to earlier questions and change answers, so that my final reflection matches my intent.</x:v>
      </x:c>
      <x:c r="H7" s="14" t="str">
        <x:v>Back preserves prior answers, highlights the selected choice, and allows revision without losing later answers.</x:v>
      </x:c>
      <x:c r="I7" s="14" t="str">
        <x:v>PASS — browser back/edit test preserved option 0, accepted revision to option 2, and preserved the revised answer. Revalidated by current automated, browser, production, and security gates.</x:v>
      </x:c>
      <x:c r="J7" s="14" t="str">
        <x:v>Verified</x:v>
      </x:c>
      <x:c r="K7" s="14" t="str">
        <x:v>Automated + browser</x:v>
      </x:c>
      <x:c r="L7" s="14" t="str">
        <x:v>Answer two questions; go Back; verify selection persists; change it and continue.</x:v>
      </x:c>
      <x:c r="M7" s="14" t="str">
        <x:v>PASS — browser back/edit test preserved option 0, accepted revision to option 2, and preserved the revised answer.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7" s="14" t="str"/>
      <x:c r="O7" s="14" t="str">
        <x:v>None</x:v>
      </x:c>
      <x:c r="P7" s="14" t="str">
        <x:v>No</x:v>
      </x:c>
      <x:c r="Q7" s="14" t="str">
        <x:v>No change required.</x:v>
      </x:c>
      <x:c r="R7" s="14" t="str"/>
      <x:c r="S7" s="14" t="str"/>
      <x:c r="T7" s="14" t="str">
        <x:v>Repeat the documented test after any tracker-backed fix.</x:v>
      </x:c>
      <x:c r="U7" s="14" t="str">
        <x:v>PASS — browser back/edit test preserved option 0, accepted revision to option 2, and preserved the revised answer. Revalidated by current automated, browser, production, and security gates.</x:v>
      </x:c>
      <x:c r="V7" s="14" t="str">
        <x:v>Verified</x:v>
      </x:c>
      <x:c r="W7" s="14" t="str">
        <x:v>No</x:v>
      </x:c>
      <x:c r="X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7" s="14" t="str">
        <x:v>Finish the MIRROR//LOOP website; make the quiz immediately understandable; deploy the subscriber magnet on GCP using the authorized $150 credit.</x:v>
      </x:c>
    </x:row>
    <x:row r="8" ht="22" customHeight="1">
      <x:c r="A8" s="14" t="str">
        <x:v>F-007</x:v>
      </x:c>
      <x:c r="B8" s="14" t="str">
        <x:v>Deterministic result scoring</x:v>
      </x:c>
      <x:c r="C8" s="14" t="str">
        <x:v>Quiz engine</x:v>
      </x:c>
      <x:c r="D8" s="14" t="str">
        <x:v>web/lib/quiz-core.js; api/internal/subscriber/model.go</x:v>
      </x:c>
      <x:c r="E8" s="14" t="str">
        <x:v>Quiz completion</x:v>
      </x:c>
      <x:c r="F8" s="14" t="str">
        <x:v>Quiz participant</x:v>
      </x:c>
      <x:c r="G8" s="14" t="str">
        <x:v>As a participant, I want the same answers to produce the same result, so that the reflection is consistent.</x:v>
      </x:c>
      <x:c r="H8" s="14" t="str">
        <x:v>Twelve answers are counted deterministically; ties use stable ascending card codes; browser and Go implementations agree.</x:v>
      </x:c>
      <x:c r="I8" s="14" t="str">
        <x:v>PASS — browser and Go deterministic scoring tests pass with stable ascending-code tie-break. Revalidated by current automated, browser, production, and security gates.</x:v>
      </x:c>
      <x:c r="J8" s="14" t="str">
        <x:v>Verified</x:v>
      </x:c>
      <x:c r="K8" s="14" t="str">
        <x:v>Automated + browser</x:v>
      </x:c>
      <x:c r="L8" s="14" t="str">
        <x:v>Run JS and Go scoring tests with tied fixtures and compare dominant/secondary outputs.</x:v>
      </x:c>
      <x:c r="M8" s="14" t="str">
        <x:v>PASS — browser and Go deterministic scoring tests pass with stable ascending-code tie-break.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8" s="14" t="str"/>
      <x:c r="O8" s="14" t="str">
        <x:v>None</x:v>
      </x:c>
      <x:c r="P8" s="14" t="str">
        <x:v>No</x:v>
      </x:c>
      <x:c r="Q8" s="14" t="str">
        <x:v>No change required.</x:v>
      </x:c>
      <x:c r="R8" s="14" t="str"/>
      <x:c r="S8" s="14" t="str"/>
      <x:c r="T8" s="14" t="str">
        <x:v>Repeat the documented test after any tracker-backed fix.</x:v>
      </x:c>
      <x:c r="U8" s="14" t="str">
        <x:v>PASS — browser and Go deterministic scoring tests pass with stable ascending-code tie-break. Revalidated by current automated, browser, production, and security gates.</x:v>
      </x:c>
      <x:c r="V8" s="14" t="str">
        <x:v>Verified</x:v>
      </x:c>
      <x:c r="W8" s="14" t="str">
        <x:v>No</x:v>
      </x:c>
      <x:c r="X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8" s="14" t="str">
        <x:v>Finish the MIRROR//LOOP website; make the quiz immediately understandable; deploy the subscriber magnet on GCP using the authorized $150 credit.</x:v>
      </x:c>
    </x:row>
    <x:row r="9" ht="22" customHeight="1">
      <x:c r="A9" s="14" t="str">
        <x:v>F-008</x:v>
      </x:c>
      <x:c r="B9" s="14" t="str">
        <x:v>Plain-language result</x:v>
      </x:c>
      <x:c r="C9" s="14" t="str">
        <x:v>Results</x:v>
      </x:c>
      <x:c r="D9" s="14" t="str">
        <x:v>web/app.js; web/lib/quiz-core.js; web/data/quiz.json</x:v>
      </x:c>
      <x:c r="E9" s="14" t="str">
        <x:v>Result panel</x:v>
      </x:c>
      <x:c r="F9" s="14" t="str">
        <x:v>Quiz participant</x:v>
      </x:c>
      <x:c r="G9" s="14" t="str">
        <x:v>As a participant, I want my result explained without technical jargon, so that I can apply it to a real choice today.</x:v>
      </x:c>
      <x:c r="H9" s="14" t="str">
        <x:v>Result shows dominant pattern, supporting pattern, concise meaning, practical prompt, and explicit non-diagnostic boundary.</x:v>
      </x:c>
      <x:c r="I9" s="14" t="str">
        <x:v>PASS — production result renders dominant/supporting patterns, meaning, practical prompt, and non-diagnostic boundary. Revalidated by current automated, browser, production, and security gates.</x:v>
      </x:c>
      <x:c r="J9" s="14" t="str">
        <x:v>Verified</x:v>
      </x:c>
      <x:c r="K9" s="14" t="str">
        <x:v>Automated + browser</x:v>
      </x:c>
      <x:c r="L9" s="14" t="str">
        <x:v>Complete quiz; verify result elements, plain-language copy, prompt, and boundary.</x:v>
      </x:c>
      <x:c r="M9" s="14" t="str">
        <x:v>PASS — production result renders dominant/supporting patterns, meaning, practical prompt, and non-diagnostic boundary.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9" s="14" t="str"/>
      <x:c r="O9" s="14" t="str">
        <x:v>None</x:v>
      </x:c>
      <x:c r="P9" s="14" t="str">
        <x:v>No</x:v>
      </x:c>
      <x:c r="Q9" s="14" t="str">
        <x:v>No change required.</x:v>
      </x:c>
      <x:c r="R9" s="14" t="str"/>
      <x:c r="S9" s="14" t="str"/>
      <x:c r="T9" s="14" t="str">
        <x:v>Repeat the documented test after any tracker-backed fix.</x:v>
      </x:c>
      <x:c r="U9" s="14" t="str">
        <x:v>PASS — production result renders dominant/supporting patterns, meaning, practical prompt, and non-diagnostic boundary. Revalidated by current automated, browser, production, and security gates.</x:v>
      </x:c>
      <x:c r="V9" s="14" t="str">
        <x:v>Verified</x:v>
      </x:c>
      <x:c r="W9" s="14" t="str">
        <x:v>No</x:v>
      </x:c>
      <x:c r="X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9" s="14" t="str">
        <x:v>Finish the MIRROR//LOOP website; make the quiz immediately understandable; deploy the subscriber magnet on GCP using the authorized $150 credit.</x:v>
      </x:c>
    </x:row>
    <x:row r="10" ht="22" customHeight="1">
      <x:c r="A10" s="14" t="str">
        <x:v>F-009</x:v>
      </x:c>
      <x:c r="B10" s="14" t="str">
        <x:v>Retake reflection</x:v>
      </x:c>
      <x:c r="C10" s="14" t="str">
        <x:v>Results</x:v>
      </x:c>
      <x:c r="D10" s="14" t="str">
        <x:v>web/app.js</x:v>
      </x:c>
      <x:c r="E10" s="14" t="str">
        <x:v>Result panel Retake</x:v>
      </x:c>
      <x:c r="F10" s="14" t="str">
        <x:v>Returning participant</x:v>
      </x:c>
      <x:c r="G10" s="14" t="str">
        <x:v>As a participant, I want to retake the quiz, so that I can reflect on a different moment.</x:v>
      </x:c>
      <x:c r="H10" s="14" t="str">
        <x:v>Retake clears all answers and returns to question 1.</x:v>
      </x:c>
      <x:c r="I10" s="14" t="str">
        <x:v>PASS — production retake reset the flow to question 1 with cleared state. Revalidated by current automated, browser, production, and security gates.</x:v>
      </x:c>
      <x:c r="J10" s="14" t="str">
        <x:v>Verified</x:v>
      </x:c>
      <x:c r="K10" s="14" t="str">
        <x:v>Automated + browser</x:v>
      </x:c>
      <x:c r="L10" s="14" t="str">
        <x:v>Complete quiz; activate retake; verify question 1 and no selected answer.</x:v>
      </x:c>
      <x:c r="M10" s="14" t="str">
        <x:v>PASS — production retake reset the flow to question 1 with cleared state.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0" s="14" t="str"/>
      <x:c r="O10" s="14" t="str">
        <x:v>None</x:v>
      </x:c>
      <x:c r="P10" s="14" t="str">
        <x:v>No</x:v>
      </x:c>
      <x:c r="Q10" s="14" t="str">
        <x:v>No change required.</x:v>
      </x:c>
      <x:c r="R10" s="14" t="str"/>
      <x:c r="S10" s="14" t="str"/>
      <x:c r="T10" s="14" t="str">
        <x:v>Repeat the documented test after any tracker-backed fix.</x:v>
      </x:c>
      <x:c r="U10" s="14" t="str">
        <x:v>PASS — production retake reset the flow to question 1 with cleared state. Revalidated by current automated, browser, production, and security gates.</x:v>
      </x:c>
      <x:c r="V10" s="14" t="str">
        <x:v>Verified</x:v>
      </x:c>
      <x:c r="W10" s="14" t="str">
        <x:v>No</x:v>
      </x:c>
      <x:c r="X10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0" s="14" t="str">
        <x:v>Finish the MIRROR//LOOP website; make the quiz immediately understandable; deploy the subscriber magnet on GCP using the authorized $150 credit.</x:v>
      </x:c>
    </x:row>
    <x:row r="11" ht="22" customHeight="1">
      <x:c r="A11" s="14" t="str">
        <x:v>F-010</x:v>
      </x:c>
      <x:c r="B11" s="14" t="str">
        <x:v>Optional email offer</x:v>
      </x:c>
      <x:c r="C11" s="14" t="str">
        <x:v>Subscription UI</x:v>
      </x:c>
      <x:c r="D11" s="14" t="str">
        <x:v>web/index.html; web/app.js; web/config.js</x:v>
      </x:c>
      <x:c r="E11" s="14" t="str">
        <x:v>Result email card</x:v>
      </x:c>
      <x:c r="F11" s="14" t="str">
        <x:v>Quiz participant</x:v>
      </x:c>
      <x:c r="G11" s="14" t="str">
        <x:v>As a participant, I want to see my result before choosing email, so that subscribing remains optional.</x:v>
      </x:c>
      <x:c r="H11" s="14" t="str">
        <x:v>Result is available without email; when production subscription is enabled, the email offer appears only after the result.</x:v>
      </x:c>
      <x:c r="I11" s="14" t="str">
        <x:v>PASS — production config enables the optional email card only after the result; result remains available without email. Revalidated by current automated, browser, production, and security gates.</x:v>
      </x:c>
      <x:c r="J11" s="14" t="str">
        <x:v>Verified</x:v>
      </x:c>
      <x:c r="K11" s="14" t="str">
        <x:v>Automated + browser</x:v>
      </x:c>
      <x:c r="L11" s="14" t="str">
        <x:v>Complete quiz with subscriberEnabled false and true; verify result precedes optional form.</x:v>
      </x:c>
      <x:c r="M11" s="14" t="str">
        <x:v>PASS — production config enables the optional email card only after the result; result remains available without email.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1" s="14" t="str"/>
      <x:c r="O11" s="14" t="str">
        <x:v>None</x:v>
      </x:c>
      <x:c r="P11" s="14" t="str">
        <x:v>No</x:v>
      </x:c>
      <x:c r="Q11" s="14" t="str">
        <x:v>Enabled subscriber UI after the production API became healthy.</x:v>
      </x:c>
      <x:c r="R11" s="14" t="str">
        <x:v>web/config.js</x:v>
      </x:c>
      <x:c r="S11" s="14" t="str">
        <x:v>41658abc55cbfe16536285d46e994b636160a5f5</x:v>
      </x:c>
      <x:c r="T11" s="14" t="str">
        <x:v>Repeat the documented test after any tracker-backed fix.</x:v>
      </x:c>
      <x:c r="U11" s="14" t="str">
        <x:v>PASS — production config enables the optional email card only after the result; result remains available without email. Revalidated by current automated, browser, production, and security gates.</x:v>
      </x:c>
      <x:c r="V11" s="14" t="str">
        <x:v>Verified</x:v>
      </x:c>
      <x:c r="W11" s="14" t="str">
        <x:v>No</x:v>
      </x:c>
      <x:c r="X11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1" s="14" t="str">
        <x:v>Finish the MIRROR//LOOP website; make the quiz immediately understandable; deploy the subscriber magnet on GCP using the authorized $150 credit.</x:v>
      </x:c>
    </x:row>
    <x:row r="12" ht="22" customHeight="1">
      <x:c r="A12" s="14" t="str">
        <x:v>F-011</x:v>
      </x:c>
      <x:c r="B12" s="14" t="str">
        <x:v>Subscriber form validation and bot protection</x:v>
      </x:c>
      <x:c r="C12" s="14" t="str">
        <x:v>Subscription UI/API</x:v>
      </x:c>
      <x:c r="D12" s="14" t="str">
        <x:v>web/app.js; api/internal/subscriber/http.go; api/internal/subscriber/challenge.go</x:v>
      </x:c>
      <x:c r="E12" s="14" t="str">
        <x:v>POST /api/v1/subscribers</x:v>
      </x:c>
      <x:c r="F12" s="14" t="str">
        <x:v>Subscriber</x:v>
      </x:c>
      <x:c r="G12" s="14" t="str">
        <x:v>As a subscriber, I want a clear and secure signup form, so that I can request my result without accidental or automated abuse.</x:v>
      </x:c>
      <x:c r="H12" s="14" t="str">
        <x:v>Valid email, explicit consent, complete answers, hidden honeypot, Turnstile token, bounded JSON, CORS, and actionable errors are enforced.</x:v>
      </x:c>
      <x:c r="I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J12" s="14" t="str">
        <x:v>Verified</x:v>
      </x:c>
      <x:c r="K12" s="14" t="str">
        <x:v>Automated + browser</x:v>
      </x:c>
      <x:c r="L12" s="14" t="str">
        <x:v>Run API tests; submit malformed/no-consent/no-challenge requests; inspect browser validation and Turnstile.</x:v>
      </x:c>
      <x:c r="M12" s="14" t="str">
        <x:v>PASS — production rejects missing Turnstile tokens; temporary QA service passed Cloudflare official test token, input validation, CORS, and Resend handoff.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2" s="14" t="str"/>
      <x:c r="O12" s="14" t="str">
        <x:v>None</x:v>
      </x:c>
      <x:c r="P12" s="14" t="str">
        <x:v>No</x:v>
      </x:c>
      <x:c r="Q12" s="14" t="str">
        <x:v>Deployed the Go API, provisioned secrets, trimmed secret values, corrected gcloud env parsing, and verified Cloudflare challenge enforcement.</x:v>
      </x:c>
      <x:c r="R12" s="14" t="str">
        <x:v>api/cmd/server/main.go; api/cmd/server/main_test.go; deploy/deploy-api.sh</x:v>
      </x:c>
      <x:c r="S12" s="14" t="str">
        <x:v>41658abc55cbfe16536285d46e994b636160a5f5</x:v>
      </x:c>
      <x:c r="T12" s="14" t="str">
        <x:v>Repeat the documented test after any tracker-backed fix.</x:v>
      </x:c>
      <x:c r="U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V12" s="14" t="str">
        <x:v>Verified</x:v>
      </x:c>
      <x:c r="W12" s="14" t="str">
        <x:v>No</x:v>
      </x:c>
      <x:c r="X1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2" s="14" t="str">
        <x:v>Finish the MIRROR//LOOP website; make the quiz immediately understandable; deploy the subscriber magnet on GCP using the authorized $150 credit.</x:v>
      </x:c>
    </x:row>
    <x:row r="13" ht="22" customHeight="1">
      <x:c r="A13" s="14" t="str">
        <x:v>F-012</x:v>
      </x:c>
      <x:c r="B13" s="14" t="str">
        <x:v>Double opt-in confirmation</x:v>
      </x:c>
      <x:c r="C13" s="14" t="str">
        <x:v>Subscriber API</x:v>
      </x:c>
      <x:c r="D13" s="14" t="str">
        <x:v>api/internal/subscriber/service.go; api/internal/subscriber/token.go; api/internal/subscriber/mailer.go</x:v>
      </x:c>
      <x:c r="E13" s="14" t="str">
        <x:v>GET /api/v1/subscribers/verify</x:v>
      </x:c>
      <x:c r="F13" s="14" t="str">
        <x:v>Subscriber</x:v>
      </x:c>
      <x:c r="G13" s="14" t="str">
        <x:v>As a subscriber, I want to confirm ownership of my email, so that updates are sent only with my permission.</x:v>
      </x:c>
      <x:c r="H13" s="14" t="str">
        <x:v>Signup stores pending status and sends a 48-hour signed confirmation link; confirmation activates the record and redirects to /confirmed.</x:v>
      </x:c>
      <x:c r="I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J13" s="14" t="str">
        <x:v>Verified</x:v>
      </x:c>
      <x:c r="K13" s="14" t="str">
        <x:v>Automated + integration + production</x:v>
      </x:c>
      <x:c r="L13" s="14" t="str">
        <x:v>Run service tests; production-submit valid form; follow confirmation link; verify redirect and active record.</x:v>
      </x:c>
      <x:c r="M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3" s="14" t="str"/>
      <x:c r="O13" s="14" t="str">
        <x:v>None</x:v>
      </x:c>
      <x:c r="P13" s="14" t="str">
        <x:v>No</x:v>
      </x:c>
      <x:c r="Q13" s="14" t="str">
        <x:v>Changed confirmation from state-changing GET to scanner-safe GET form plus explicit POST; added regression coverage.</x:v>
      </x:c>
      <x:c r="R13" s="14" t="str">
        <x:v>api/internal/subscriber/http.go; api/internal/subscriber/http_test.go; api/internal/subscriber/service.go</x:v>
      </x:c>
      <x:c r="S13" s="14" t="str">
        <x:v>41658abc55cbfe16536285d46e994b636160a5f5</x:v>
      </x:c>
      <x:c r="T13" s="14" t="str">
        <x:v>Repeat the documented test after any tracker-backed fix.</x:v>
      </x:c>
      <x:c r="U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V13" s="14" t="str">
        <x:v>Verified</x:v>
      </x:c>
      <x:c r="W13" s="14" t="str">
        <x:v>No</x:v>
      </x:c>
      <x:c r="X1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3" s="14" t="str">
        <x:v>Finish the MIRROR//LOOP website; make the quiz immediately understandable; deploy the subscriber magnet on GCP using the authorized $150 credit.</x:v>
      </x:c>
    </x:row>
    <x:row r="14" ht="22" customHeight="1">
      <x:c r="A14" s="14" t="str">
        <x:v>F-013</x:v>
      </x:c>
      <x:c r="B14" s="14" t="str">
        <x:v>Reflection delivery and unsubscribe</x:v>
      </x:c>
      <x:c r="C14" s="14" t="str">
        <x:v>Subscriber API</x:v>
      </x:c>
      <x:c r="D14" s="14" t="str">
        <x:v>api/internal/subscriber/service.go; api/internal/subscriber/mailer.go; api/internal/subscriber/http.go</x:v>
      </x:c>
      <x:c r="E14" s="14" t="str">
        <x:v>Confirmation email; reflection email; unsubscribe link</x:v>
      </x:c>
      <x:c r="F14" s="14" t="str">
        <x:v>Confirmed subscriber</x:v>
      </x:c>
      <x:c r="G14" s="14" t="str">
        <x:v>As a confirmed subscriber, I want my reflection and a working unsubscribe link, so that I receive the promised value and retain control.</x:v>
      </x:c>
      <x:c r="H14" s="14" t="str">
        <x:v>Confirmation sends the dominant/supporting result; every reflection includes a signed unsubscribe link that suppresses future updates.</x:v>
      </x:c>
      <x:c r="I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J14" s="14" t="str">
        <x:v>Verified</x:v>
      </x:c>
      <x:c r="K14" s="14" t="str">
        <x:v>Automated + integration + production</x:v>
      </x:c>
      <x:c r="L14" s="14" t="str">
        <x:v>After confirmation, verify reflection email content and activate unsubscribe link; verify suppression state.</x:v>
      </x:c>
      <x:c r="M14" s="14" t="str">
        <x:v>PASS — QA confirmation and reflection were accepted by Resend; GET unsubscribe preserved active state and POST changed it to unsubscribed.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4" s="14" t="str"/>
      <x:c r="O14" s="14" t="str">
        <x:v>None</x:v>
      </x:c>
      <x:c r="P14" s="14" t="str">
        <x:v>No</x:v>
      </x:c>
      <x:c r="Q14" s="14" t="str">
        <x:v>Added monitored Reply-To, fixed newline-contaminated provider secrets, made unsubscribe GET scanner-safe and POST state-changing, and added tests.</x:v>
      </x:c>
      <x:c r="R14" s="14" t="str">
        <x:v>api/cmd/server/main.go; api/internal/subscriber/mailer.go; api/internal/subscriber/mailer_test.go; api/internal/subscriber/http.go; api/internal/subscriber/http_test.go</x:v>
      </x:c>
      <x:c r="S14" s="14" t="str">
        <x:v>41658abc55cbfe16536285d46e994b636160a5f5</x:v>
      </x:c>
      <x:c r="T14" s="14" t="str">
        <x:v>Repeat the documented test after any tracker-backed fix.</x:v>
      </x:c>
      <x:c r="U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V14" s="14" t="str">
        <x:v>Verified</x:v>
      </x:c>
      <x:c r="W14" s="14" t="str">
        <x:v>No</x:v>
      </x:c>
      <x:c r="X1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4" s="14" t="str">
        <x:v>Finish the MIRROR//LOOP website; make the quiz immediately understandable; deploy the subscriber magnet on GCP using the authorized $150 credit.</x:v>
      </x:c>
    </x:row>
    <x:row r="15" ht="22" customHeight="1">
      <x:c r="A15" s="14" t="str">
        <x:v>F-014</x:v>
      </x:c>
      <x:c r="B15" s="14" t="str">
        <x:v>Privacy notice and contact</x:v>
      </x:c>
      <x:c r="C15" s="14" t="str">
        <x:v>Trust</x:v>
      </x:c>
      <x:c r="D15" s="14" t="str">
        <x:v>web/privacy.html; web/index.html</x:v>
      </x:c>
      <x:c r="E15" s="14" t="str">
        <x:v>/privacy; footer Contact</x:v>
      </x:c>
      <x:c r="F15" s="14" t="str">
        <x:v>Privacy-conscious visitor</x:v>
      </x:c>
      <x:c r="G15" s="14" t="str">
        <x:v>As a visitor, I want to know what is stored and how to request deletion, so that I can make an informed choice.</x:v>
      </x:c>
      <x:c r="H15" s="14" t="str">
        <x:v>Privacy notice accurately states stored fields, individual-answer exclusion, providers, retention, and offers a working monitored contact address.</x:v>
      </x:c>
      <x:c r="I15" s="14" t="str">
        <x:v>PASS — privacy claims match stored schema; monitored Google Workspace contact is published and configured as Reply-To. Revalidated by current automated, browser, production, and security gates.</x:v>
      </x:c>
      <x:c r="J15" s="14" t="str">
        <x:v>Verified</x:v>
      </x:c>
      <x:c r="K15" s="14" t="str">
        <x:v>Automated + browser</x:v>
      </x:c>
      <x:c r="L15" s="14" t="str">
        <x:v>Open /privacy and footer contact; verify claims against storage and confirm address is deliverable/monitored.</x:v>
      </x:c>
      <x:c r="M15" s="14" t="str">
        <x:v>PASS — privacy claims match stored schema; monitored Google Workspace contact is published and configured as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5" s="14" t="str"/>
      <x:c r="O15" s="14" t="str">
        <x:v>None</x:v>
      </x:c>
      <x:c r="P15" s="14" t="str">
        <x:v>No</x:v>
      </x:c>
      <x:c r="Q15" s="14" t="str">
        <x:v>Replaced the nonexistent privacy mailbox with the monitored Google Workspace address.</x:v>
      </x:c>
      <x:c r="R15" s="14" t="str">
        <x:v>web/index.html; web/privacy.html; api/internal/subscriber/mailer.go</x:v>
      </x:c>
      <x:c r="S15" s="14" t="str">
        <x:v>41658abc55cbfe16536285d46e994b636160a5f5</x:v>
      </x:c>
      <x:c r="T15" s="14" t="str">
        <x:v>Repeat the documented test after any tracker-backed fix.</x:v>
      </x:c>
      <x:c r="U15" s="14" t="str">
        <x:v>PASS — privacy claims match stored schema; monitored Google Workspace contact is published and configured as Reply-To. Revalidated by current automated, browser, production, and security gates.</x:v>
      </x:c>
      <x:c r="V15" s="14" t="str">
        <x:v>Verified</x:v>
      </x:c>
      <x:c r="W15" s="14" t="str">
        <x:v>No</x:v>
      </x:c>
      <x:c r="X1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5" s="14" t="str">
        <x:v>Finish the MIRROR//LOOP website; make the quiz immediately understandable; deploy the subscriber magnet on GCP using the authorized $150 credit.</x:v>
      </x:c>
    </x:row>
    <x:row r="16" ht="22" customHeight="1">
      <x:c r="A16" s="14" t="str">
        <x:v>F-015</x:v>
      </x:c>
      <x:c r="B16" s="14" t="str">
        <x:v>Confirmation landing page</x:v>
      </x:c>
      <x:c r="C16" s="14" t="str">
        <x:v>Subscription UI</x:v>
      </x:c>
      <x:c r="D16" s="14" t="str">
        <x:v>web/confirmed.html</x:v>
      </x:c>
      <x:c r="E16" s="14" t="str">
        <x:v>/confirmed</x:v>
      </x:c>
      <x:c r="F16" s="14" t="str">
        <x:v>New subscriber</x:v>
      </x:c>
      <x:c r="G16" s="14" t="str">
        <x:v>As a newly confirmed subscriber, I want clear confirmation, so that I know the process succeeded and what happens next.</x:v>
      </x:c>
      <x:c r="H16" s="14" t="str">
        <x:v>Page confirms success, states the reflection is coming, and offers a route home.</x:v>
      </x:c>
      <x:c r="I16" s="14" t="str">
        <x:v>PASS — /confirmed returns 200 with success message, expected next step, home link, and noindex. Revalidated by current automated, browser, production, and security gates.</x:v>
      </x:c>
      <x:c r="J16" s="14" t="str">
        <x:v>Verified</x:v>
      </x:c>
      <x:c r="K16" s="14" t="str">
        <x:v>Automated + browser</x:v>
      </x:c>
      <x:c r="L16" s="14" t="str">
        <x:v>Open /confirmed; inspect copy, navigation, mobile layout, and noindex.</x:v>
      </x:c>
      <x:c r="M16" s="14" t="str">
        <x:v>PASS — /confirmed returns 200 with success message, expected next step, home link, and noindex.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6" s="14" t="str"/>
      <x:c r="O16" s="14" t="str">
        <x:v>None</x:v>
      </x:c>
      <x:c r="P16" s="14" t="str">
        <x:v>No</x:v>
      </x:c>
      <x:c r="Q16" s="14" t="str">
        <x:v>No change required.</x:v>
      </x:c>
      <x:c r="R16" s="14" t="str"/>
      <x:c r="S16" s="14" t="str"/>
      <x:c r="T16" s="14" t="str">
        <x:v>Repeat the documented test after any tracker-backed fix.</x:v>
      </x:c>
      <x:c r="U16" s="14" t="str">
        <x:v>PASS — /confirmed returns 200 with success message, expected next step, home link, and noindex. Revalidated by current automated, browser, production, and security gates.</x:v>
      </x:c>
      <x:c r="V16" s="14" t="str">
        <x:v>Verified</x:v>
      </x:c>
      <x:c r="W16" s="14" t="str">
        <x:v>No</x:v>
      </x:c>
      <x:c r="X1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6" s="14" t="str">
        <x:v>Finish the MIRROR//LOOP website; make the quiz immediately understandable; deploy the subscriber magnet on GCP using the authorized $150 credit.</x:v>
      </x:c>
    </x:row>
    <x:row r="17" ht="22" customHeight="1">
      <x:c r="A17" s="14" t="str">
        <x:v>F-016</x:v>
      </x:c>
      <x:c r="B17" s="14" t="str">
        <x:v>Responsive and accessible use</x:v>
      </x:c>
      <x:c r="C17" s="14" t="str">
        <x:v>Cross-cutting UX</x:v>
      </x:c>
      <x:c r="D17" s="14" t="str">
        <x:v>web/index.html; web/styles.css; web/app.js</x:v>
      </x:c>
      <x:c r="E17" s="14" t="str">
        <x:v>All public screens</x:v>
      </x:c>
      <x:c r="F17" s="14" t="str">
        <x:v>Mobile and assistive-technology user</x:v>
      </x:c>
      <x:c r="G17" s="14" t="str">
        <x:v>As a mobile or assistive-technology user, I want readable, keyboard-operable pages, so that I can complete the experience independently.</x:v>
      </x:c>
      <x:c r="H17" s="14" t="str">
        <x:v>No horizontal overflow at common mobile sizes; semantic headings, focus movement, labels, progress semantics, contrast, and keyboard interactions work.</x:v>
      </x:c>
      <x:c r="I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J17" s="14" t="str">
        <x:v>Verified</x:v>
      </x:c>
      <x:c r="K17" s="14" t="str">
        <x:v>Automated + browser</x:v>
      </x:c>
      <x:c r="L17" s="14" t="str">
        <x:v>Keyboard-test quiz; inspect 390px and desktop layouts; run browser accessibility audit and overflow check.</x:v>
      </x:c>
      <x:c r="M17" s="14" t="str">
        <x:v>PASS — 390px production browser has zero horizontal overflow; final Lighthouse scores are 100 for accessibility, best practices, SEO, and agentic browsing.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7" s="14" t="str"/>
      <x:c r="O17" s="14" t="str">
        <x:v>None</x:v>
      </x:c>
      <x:c r="P17" s="14" t="str">
        <x:v>No</x:v>
      </x:c>
      <x:c r="Q17" s="14" t="str">
        <x:v>Corrected low-contrast form-note text on the light email card.</x:v>
      </x:c>
      <x:c r="R17" s="14" t="str">
        <x:v>web/styles.css</x:v>
      </x:c>
      <x:c r="S17" s="14" t="str">
        <x:v>41658abc55cbfe16536285d46e994b636160a5f5</x:v>
      </x:c>
      <x:c r="T17" s="14" t="str">
        <x:v>Repeat the documented test after any tracker-backed fix.</x:v>
      </x:c>
      <x:c r="U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V17" s="14" t="str">
        <x:v>Verified</x:v>
      </x:c>
      <x:c r="W17" s="14" t="str">
        <x:v>No</x:v>
      </x:c>
      <x:c r="X1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7" s="14" t="str">
        <x:v>Finish the MIRROR//LOOP website; make the quiz immediately understandable; deploy the subscriber magnet on GCP using the authorized $150 credit.</x:v>
      </x:c>
    </x:row>
    <x:row r="18" ht="22" customHeight="1">
      <x:c r="A18" s="14" t="str">
        <x:v>F-017</x:v>
      </x:c>
      <x:c r="B18" s="14" t="str">
        <x:v>Failure and recovery states</x:v>
      </x:c>
      <x:c r="C18" s="14" t="str">
        <x:v>Reliability</x:v>
      </x:c>
      <x:c r="D18" s="14" t="str">
        <x:v>web/app.js; api/internal/subscriber/http.go</x:v>
      </x:c>
      <x:c r="E18" s="14" t="str">
        <x:v>Quiz load; subscribe; invalid links</x:v>
      </x:c>
      <x:c r="F18" s="14" t="str">
        <x:v>Visitor or subscriber</x:v>
      </x:c>
      <x:c r="G18" s="14" t="str">
        <x:v>As a user encountering a failure, I want a clear message and a retry path, so that I am not stranded.</x:v>
      </x:c>
      <x:c r="H18" s="14" t="str">
        <x:v>Quiz-load, invalid form, failed API, expired confirmation, and invalid unsubscribe states provide safe human-readable feedback without exposing internals.</x:v>
      </x:c>
      <x:c r="I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J18" s="14" t="str">
        <x:v>Verified</x:v>
      </x:c>
      <x:c r="K18" s="14" t="str">
        <x:v>Automated + browser</x:v>
      </x:c>
      <x:c r="L18" s="14" t="str">
        <x:v>Simulate quiz fetch failure and API errors; open invalid verify/unsubscribe links; inspect recovery copy.</x:v>
      </x:c>
      <x:c r="M18" s="14" t="str">
        <x:v>PASS — invalid confirmation returns safe 400; form/API messages are bounded; Turnstile expiration/failure callbacks now provide recovery instructions.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8" s="14" t="str"/>
      <x:c r="O18" s="14" t="str">
        <x:v>None</x:v>
      </x:c>
      <x:c r="P18" s="14" t="str">
        <x:v>No</x:v>
      </x:c>
      <x:c r="Q18" s="14" t="str">
        <x:v>Added human-readable Turnstile expired/error recovery messages and a routed API health endpoint.</x:v>
      </x:c>
      <x:c r="R18" s="14" t="str">
        <x:v>web/app.js; api/internal/subscriber/http.go</x:v>
      </x:c>
      <x:c r="S18" s="14" t="str">
        <x:v>41658abc55cbfe16536285d46e994b636160a5f5</x:v>
      </x:c>
      <x:c r="T18" s="14" t="str">
        <x:v>Repeat the documented test after any tracker-backed fix.</x:v>
      </x:c>
      <x:c r="U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V18" s="14" t="str">
        <x:v>Verified</x:v>
      </x:c>
      <x:c r="W18" s="14" t="str">
        <x:v>No</x:v>
      </x:c>
      <x:c r="X1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8" s="14" t="str">
        <x:v>Finish the MIRROR//LOOP website; make the quiz immediately understandable; deploy the subscriber magnet on GCP using the authorized $150 credit.</x:v>
      </x:c>
    </x:row>
    <x:row r="19" ht="22" customHeight="1">
      <x:c r="A19" s="14" t="str">
        <x:v>F-018</x:v>
      </x:c>
      <x:c r="B19" s="14" t="str">
        <x:v>Private corpus and security boundary</x:v>
      </x:c>
      <x:c r="C19" s="14" t="str">
        <x:v>Security</x:v>
      </x:c>
      <x:c r="D19" s="14" t="str">
        <x:v>scripts/validate-site.mjs; firebase.json; deploy/firestore.rules; api/internal/subscriber/http.go</x:v>
      </x:c>
      <x:c r="E19" s="14" t="str">
        <x:v>Public site and API</x:v>
      </x:c>
      <x:c r="F19" s="14" t="str">
        <x:v>Public visitor</x:v>
      </x:c>
      <x:c r="G19" s="14" t="str">
        <x:v>As a visitor, I want the public experience to protect private source material and my data, so that reflection content and signup data remain appropriately bounded.</x:v>
      </x:c>
      <x:c r="H19" s="14" t="str">
        <x:v>No private Rosicrucian/Geneva corpus paths or full texts are exposed; Firestore denies client access; secure headers and service-side secrets are used.</x:v>
      </x:c>
      <x:c r="I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J19" s="14" t="str">
        <x:v>Verified</x:v>
      </x:c>
      <x:c r="K19" s="14" t="str">
        <x:v>Automated + browser</x:v>
      </x:c>
      <x:c r="L19" s="14" t="str">
        <x:v>Run site validation; inspect public assets, headers, Firestore rules, and deployed responses for leakage.</x:v>
      </x:c>
      <x:c r="M19" s="14" t="str">
        <x:v>PASS — validation found no private corpus identifiers; Firestore client access is denied; production sends CSP, HSTS, referrer, permissions, and nosniff headers.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9" s="14" t="str"/>
      <x:c r="O19" s="14" t="str">
        <x:v>None</x:v>
      </x:c>
      <x:c r="P19" s="14" t="str">
        <x:v>No</x:v>
      </x:c>
      <x:c r="Q19" s="14" t="str">
        <x:v>No change required.</x:v>
      </x:c>
      <x:c r="R19" s="14" t="str"/>
      <x:c r="S19" s="14" t="str"/>
      <x:c r="T19" s="14" t="str">
        <x:v>Repeat the documented test after any tracker-backed fix.</x:v>
      </x:c>
      <x:c r="U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V19" s="14" t="str">
        <x:v>Verified</x:v>
      </x:c>
      <x:c r="W19" s="14" t="str">
        <x:v>No</x:v>
      </x:c>
      <x:c r="X1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9" s="14" t="str">
        <x:v>Finish the MIRROR//LOOP website; make the quiz immediately understandable; deploy the subscriber magnet on GCP using the authorized $150 credit.</x:v>
      </x:c>
    </x:row>
    <x:row r="20" ht="22" customHeight="1">
      <x:c r="A20" s="14" t="str">
        <x:v>F-019</x:v>
      </x:c>
      <x:c r="B20" s="14" t="str">
        <x:v>Production availability and cost guardrails</x:v>
      </x:c>
      <x:c r="C20" s="14" t="str">
        <x:v>Operations</x:v>
      </x:c>
      <x:c r="D20" s="14" t="str">
        <x:v>firebase.json; deploy/bootstrap-gcp.sh; deploy/deploy-api.sh; deploy/firestore.indexes.json</x:v>
      </x:c>
      <x:c r="E20" s="14" t="str">
        <x:v>mirrorloopai.com; GCP project mirrorloopai-com</x:v>
      </x:c>
      <x:c r="F20" s="14" t="str">
        <x:v>Site operator</x:v>
      </x:c>
      <x:c r="G20" s="14" t="str">
        <x:v>As the site operator, I want the quiz and subscriber API live with bounded cloud spend, so that the lead magnet works without uncontrolled cost.</x:v>
      </x:c>
      <x:c r="H20" s="14" t="str">
        <x:v>Custom domain serves the site; API rewrite reaches Cloud Run; minimum instances are zero, maximum instances are capped, billing budget alerts exist, and health checks pass.</x:v>
      </x:c>
      <x:c r="I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J20" s="14" t="str">
        <x:v>Verified</x:v>
      </x:c>
      <x:c r="K20" s="14" t="str">
        <x:v>Automated + integration + production</x:v>
      </x:c>
      <x:c r="L20" s="14" t="str">
        <x:v>Verify billing link, budget, enabled APIs, Cloud Run caps/health, Firebase rewrite, TLS, and custom domain.</x:v>
      </x:c>
      <x:c r="M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0" s="14" t="str"/>
      <x:c r="O20" s="14" t="str">
        <x:v>None</x:v>
      </x:c>
      <x:c r="P20" s="14" t="str">
        <x:v>No</x:v>
      </x:c>
      <x:c r="Q20" s="14" t="str">
        <x:v>Linked billing, created a $10 monthly budget with 25/50/80/100% alerts, provisioned Firestore/TTL/secrets/service account, capped Cloud Run at one instance, deployed the Firebase rewrite, and declared the live TTL override for repeatable full deploys.</x:v>
      </x:c>
      <x:c r="R20" s="14" t="str">
        <x:v>deploy/bootstrap-gcp.sh; deploy/deploy-api.sh; deploy/firestore.indexes.json; firebase.json; web/config.js</x:v>
      </x:c>
      <x:c r="S20" s="14" t="str">
        <x:v>41658abc55cbfe16536285d46e994b636160a5f5</x:v>
      </x:c>
      <x:c r="T20" s="14" t="str">
        <x:v>Repeat the documented test after any tracker-backed fix.</x:v>
      </x:c>
      <x:c r="U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V20" s="14" t="str">
        <x:v>Verified</x:v>
      </x:c>
      <x:c r="W20" s="14" t="str">
        <x:v>No</x:v>
      </x:c>
      <x:c r="X20" s="14" t="str">
        <x:v>Evidence: qa_evidence/commands/; qa_evidence/logs/production-browser-qa.txt; qa_evidence/logs/firebase-full-deploy-final.txt; feature-specific production and test records retained without secrets. Prior evidence retained; included in 2026-08-29 full-site regression pass.</x:v>
      </x:c>
      <x:c r="Y20" s="14" t="str">
        <x:v>Finish the MIRROR//LOOP website; make the quiz immediately understandable; deploy the subscriber magnet on GCP using the authorized $150 credit.</x:v>
      </x:c>
    </x:row>
    <x:row r="21">
      <x:c r="A21" s="14" t="str">
        <x:v>F-020</x:v>
      </x:c>
      <x:c r="B21" s="14" t="str">
        <x:v>Privacy-preserving conversion analytics</x:v>
      </x:c>
      <x:c r="C21" s="14" t="str">
        <x:v>Analytics and operations</x:v>
      </x:c>
      <x:c r="D21" s="14" t="str">
        <x:v>web/app.js; web/privacy.html; api/internal/analytics; api/internal/subscriber/http.go; api/internal/subscriber/service.go; api/cmd/analytics-report</x:v>
      </x:c>
      <x:c r="E21" s="14" t="str">
        <x:v>Quiz start; quiz result; confirmed subscription; operator analytics report</x:v>
      </x:c>
      <x:c r="F21" s="14" t="str">
        <x:v>Site operator and privacy-conscious visitor</x:v>
      </x:c>
      <x:c r="G21" s="14" t="str">
        <x:v>As the site operator, I want aggregate counts of quiz starts, quiz completions, and confirmed subscriptions, so that I can improve conversion without profiling individual visitors.</x:v>
      </x:c>
      <x:c r="H21" s="14" t="str">
        <x:v>The app records only allowlisted aggregate funnel counters by UTC day and total; quiz events carry no email, answers, IP, cookie, fingerprint, or persistent visitor ID; confirmation is recorded server-side only; duplicate browser events are bounded per tab session; private counters deny direct client access; an authenticated operator command reports counts and conversion rates.</x:v>
      </x:c>
      <x:c r="I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J21" s="14" t="str">
        <x:v>Verified</x:v>
      </x:c>
      <x:c r="K21" s="14" t="str">
        <x:v>Automated + integration + production</x:v>
      </x:c>
      <x:c r="L21" s="14" t="str">
        <x:v>Verify no analytics network event before interaction; begin and complete the quiz; confirm only allowlisted event payloads; exercise invalid event and oversized/unknown-field rejection; prove aggregate-only Firestore shape and denied anonymous reads; confirm a subscription records server-side; run the authenticated operator report; inspect privacy copy; regression-test the quiz and subscriber flow.</x:v>
      </x:c>
      <x:c r="M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1" s="14" t="str"/>
      <x:c r="O21" s="14" t="str">
        <x:v>None</x:v>
      </x:c>
      <x:c r="P21" s="14" t="str">
        <x:v>No</x:v>
      </x:c>
      <x:c r="Q21" s="14" t="str">
        <x:v>Added an aggregate-only Firestore recorder, allowlisted first-party event endpoint, per-tab duplicate suppression, server-side confirmation counting, authenticated operator report, privacy disclosure, and production deployment.</x:v>
      </x:c>
      <x:c r="R21" s="14" t="str">
        <x:v>web/app.js; web/lib/analytics.js; web/tests/analytics.test.mjs; web/privacy.html; api/internal/analytics; api/internal/subscriber/http.go; api/internal/subscriber/service.go; api/cmd/analytics-report; Makefile; docs/MirrorLoopAI_Subscriber_Magnet_Architecture_2026_08_25.html; CHANGELOG.md</x:v>
      </x:c>
      <x:c r="S21" s="14" t="str">
        <x:v>41ccce140e13759d970ffd4d7b7dc3f5ada9372c</x:v>
      </x:c>
      <x:c r="T21" s="14" t="str">
        <x:v>Repeat all F-020 test steps and affected F-004 through F-018 regressions after implementation and deployment.</x:v>
      </x:c>
      <x:c r="U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V21" s="14" t="str">
        <x:v>Verified</x:v>
      </x:c>
      <x:c r="W21" s="14" t="str">
        <x:v>No</x:v>
      </x:c>
      <x:c r="X21" s="14" t="str">
        <x:v>Evidence: qa_evidence/commands/analytics-local-final-gates.txt; qa_evidence/commands/analytics-production-api.txt; qa_evidence/commands/analytics-production-firestore-corrected.txt; qa_evidence/commands/analytics-production-reset.txt; qa_evidence/logs/analytics-production-browser.txt; qa_evidence/logs/lighthouse-production-mobile-analytics-final.json. Production QA counters were reset to zero after verification. Prior evidence retained; included in 2026-08-29 full-site regression pass.</x:v>
      </x:c>
      <x:c r="Y21" s="14" t="str">
        <x:v>Add privacy-preserving conversion analytics for quiz starts, completions, and confirmed subscriptions.</x:v>
      </x:c>
    </x:row>
    <x:row r="22">
      <x:c r="A22" s="14" t="str">
        <x:v>F-021</x:v>
      </x:c>
      <x:c r="B22" s="14" t="str">
        <x:v>Unfamiliar first-time visitor orientation</x:v>
      </x:c>
      <x:c r="C22" s="14" t="str">
        <x:v>Persona journey</x:v>
      </x:c>
      <x:c r="D22" s="14" t="str">
        <x:v>web/index.html; web/styles.css</x:v>
      </x:c>
      <x:c r="E22" s="14" t="str">
        <x:v>Landing page through quiz entry</x:v>
      </x:c>
      <x:c r="F22" s="14" t="str">
        <x:v>First-time visitor unfamiliar with MIRROR//LOOP</x:v>
      </x:c>
      <x:c r="G22" s="14" t="str">
        <x:v>As a first-time visitor unfamiliar with MIRROR//LOOP, I want to understand what I will receive before I start, so that I can decide whether the reflection is worth two minutes.</x:v>
      </x:c>
      <x:c r="H22" s="14" t="str">
        <x:v>Within the initial viewport and before quiz entry, the visitor can identify the experience, time commitment, output, privacy boundary, and immediate start action without understanding the 144-card system.</x:v>
      </x:c>
      <x:c r="I22" s="14" t="str">
        <x:v>PASS — current automated and browser regression gates satisfy the story; prior evidence remains linked in Notes.</x:v>
      </x:c>
      <x:c r="J22" s="14" t="str">
        <x:v>Verified</x:v>
      </x:c>
      <x:c r="K22" s="14" t="str">
        <x:v>Persona walkthrough + automated + browser</x:v>
      </x:c>
      <x:c r="L22" s="14" t="str">
        <x:v>Review production at desktop and mobile widths; state what the product is after a five-second scan; identify duration, required data, result, and start action; follow the card-image interaction.</x:v>
      </x:c>
      <x:c r="M22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2" s="14" t="str"/>
      <x:c r="O22" s="14" t="str">
        <x:v>None</x:v>
      </x:c>
      <x:c r="P22" s="14" t="str">
        <x:v>No</x:v>
      </x:c>
      <x:c r="Q22" s="14" t="str">
        <x:v>Moved the mobile hero copy and CTA before the card, reduced the mobile card footprint, and clarified that Card 012 is a visual preview rather than the quiz result.</x:v>
      </x:c>
      <x:c r="R22" s="14" t="str">
        <x:v>web/index.html; web/styles.css</x:v>
      </x:c>
      <x:c r="S22" s="14" t="str">
        <x:v>7f06937bcbdb9d91c2c243920f8d68a06784f064</x:v>
      </x:c>
      <x:c r="T22" s="14" t="str">
        <x:v>Repeat the persona walkthrough and all affected existing feature stories after any tracker-backed fix.</x:v>
      </x:c>
      <x:c r="U22" s="14" t="str">
        <x:v>PASS — current automated and browser regression gates satisfy the story; prior evidence remains linked in Notes.</x:v>
      </x:c>
      <x:c r="V22" s="14" t="str">
        <x:v>Verified</x:v>
      </x:c>
      <x:c r="W22" s="14" t="str">
        <x:v>No</x:v>
      </x:c>
      <x:c r="X22" s="14" t="str">
        <x:v>Evidence: qa_evidence/screenshots/persona-mobile-landing-before.png; qa_evidence/screenshots/persona-mobile-landing-after-production.png Prior evidence retained; included in 2026-08-29 full-site regression pass.</x:v>
      </x:c>
      <x:c r="Y22" s="14" t="str">
        <x:v>Audit the MIRROR//LOOP website from several different user personas and improve it.</x:v>
      </x:c>
    </x:row>
    <x:row r="23">
      <x:c r="A23" s="14" t="str">
        <x:v>F-022</x:v>
      </x:c>
      <x:c r="B23" s="14" t="str">
        <x:v>Skeptical visitor trust and claim boundaries</x:v>
      </x:c>
      <x:c r="C23" s="14" t="str">
        <x:v>Persona journey</x:v>
      </x:c>
      <x:c r="D23" s="14" t="str">
        <x:v>web/index.html; web/privacy.html; web/data/quiz.json</x:v>
      </x:c>
      <x:c r="E23" s="14" t="str">
        <x:v>Landing, quiz, result, privacy notice</x:v>
      </x:c>
      <x:c r="F23" s="14" t="str">
        <x:v>Skeptical evidence-conscious visitor</x:v>
      </x:c>
      <x:c r="G23" s="14" t="str">
        <x:v>As a skeptical visitor, I want clear limits on what the quiz can and cannot tell me, so that I can engage without being misled by mystical or diagnostic claims.</x:v>
      </x:c>
      <x:c r="H23" s="14" t="str">
        <x:v>Copy consistently presents the quiz as a reflective prompt rather than a diagnosis, prediction, personality test, or scientific measurement; unfamiliar symbols do not imply unsupported authority.</x:v>
      </x:c>
      <x:c r="I23" s="14" t="str">
        <x:v>PASS — current automated and browser regression gates satisfy the story; prior evidence remains linked in Notes.</x:v>
      </x:c>
      <x:c r="J23" s="14" t="str">
        <x:v>Verified</x:v>
      </x:c>
      <x:c r="K23" s="14" t="str">
        <x:v>Persona walkthrough + automated + browser</x:v>
      </x:c>
      <x:c r="L23" s="14" t="str">
        <x:v>Inspect hero, instructions, all question labels, result, subscription offer, and privacy notice for predictive, diagnostic, scientific, or coercive framing; verify boundary copy is visible before and after the quiz.</x:v>
      </x:c>
      <x:c r="M23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3" s="14" t="str"/>
      <x:c r="O23" s="14" t="str">
        <x:v>None</x:v>
      </x:c>
      <x:c r="P23" s="14" t="str">
        <x:v>No</x:v>
      </x:c>
      <x:c r="Q23" s="14" t="str">
        <x:v>Replaced public section labels and result domains with plain-language topics and added an automated loaded-language guard.</x:v>
      </x:c>
      <x:c r="R23" s="14" t="str">
        <x:v>web/data/quiz.json; web/tests/quiz-core.test.mjs</x:v>
      </x:c>
      <x:c r="S23" s="14" t="str">
        <x:v>7f06937bcbdb9d91c2c243920f8d68a06784f064</x:v>
      </x:c>
      <x:c r="T23" s="14" t="str">
        <x:v>Repeat the persona walkthrough and all affected existing feature stories after any tracker-backed fix.</x:v>
      </x:c>
      <x:c r="U23" s="14" t="str">
        <x:v>PASS — current automated and browser regression gates satisfy the story; prior evidence remains linked in Notes.</x:v>
      </x:c>
      <x:c r="V23" s="14" t="str">
        <x:v>Verified</x:v>
      </x:c>
      <x:c r="W23" s="14" t="str">
        <x:v>No</x:v>
      </x:c>
      <x:c r="X23" s="14" t="str">
        <x:v>Evidence: qa_evidence/persona-audit/content-inventory.txt; qa_evidence/persona-audit/persona-retest-after.txt Prior evidence retained; included in 2026-08-29 full-site regression pass.</x:v>
      </x:c>
      <x:c r="Y23" s="14" t="str">
        <x:v>Audit the MIRROR//LOOP website from several different user personas and improve it.</x:v>
      </x:c>
    </x:row>
    <x:row r="24">
      <x:c r="A24" s="14" t="str">
        <x:v>F-023</x:v>
      </x:c>
      <x:c r="B24" s="14" t="str">
        <x:v>Time-pressed mobile completion</x:v>
      </x:c>
      <x:c r="C24" s="14" t="str">
        <x:v>Persona journey</x:v>
      </x:c>
      <x:c r="D24" s="14" t="str">
        <x:v>web/index.html; web/styles.css; web/app.js; web/data/quiz.json</x:v>
      </x:c>
      <x:c r="E24" s="14" t="str">
        <x:v>Mobile landing and 12-question flow</x:v>
      </x:c>
      <x:c r="F24" s="14" t="str">
        <x:v>Time-pressed mobile visitor</x:v>
      </x:c>
      <x:c r="G24" s="14" t="str">
        <x:v>As a visitor with only a few minutes on a phone, I want each choice and navigation step to be quick to scan and operate, so that I can finish without fatigue or uncertainty.</x:v>
      </x:c>
      <x:c r="H24" s="14" t="str">
        <x:v>The start action is obvious; the page states the effort; every question fits a clear mobile rhythm; answer choices use plain language; selected state and Next action are unmistakable; completion requires no email.</x:v>
      </x:c>
      <x:c r="I24" s="14" t="str">
        <x:v>PASS — current automated and browser regression gates satisfy the story; prior evidence remains linked in Notes.</x:v>
      </x:c>
      <x:c r="J24" s="14" t="str">
        <x:v>Verified</x:v>
      </x:c>
      <x:c r="K24" s="14" t="str">
        <x:v>Persona walkthrough + automated + browser</x:v>
      </x:c>
      <x:c r="L24" s="14" t="str">
        <x:v>Run the complete quiz at 390x844; inspect first, middle, and last questions; count choices and taps; verify selected state, progress, back navigation, result arrival, no horizontal overflow, and optional email boundary.</x:v>
      </x:c>
      <x:c r="M24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4" s="14" t="str"/>
      <x:c r="O24" s="14" t="str">
        <x:v>None</x:v>
      </x:c>
      <x:c r="P24" s="14" t="str">
        <x:v>No</x:v>
      </x:c>
      <x:c r="Q24" s="14" t="str">
        <x:v>Changed the simultaneous 12-option display into four accessible response disclosures with three visible choices, plain summaries, and sticky mobile controls.</x:v>
      </x:c>
      <x:c r="R24" s="14" t="str">
        <x:v>web/app.js; web/lib/quiz-core.js; web/styles.css; web/index.html</x:v>
      </x:c>
      <x:c r="S24" s="14" t="str">
        <x:v>7f06937bcbdb9d91c2c243920f8d68a06784f064</x:v>
      </x:c>
      <x:c r="T24" s="14" t="str">
        <x:v>Repeat the persona walkthrough and all affected existing feature stories after any tracker-backed fix.</x:v>
      </x:c>
      <x:c r="U24" s="14" t="str">
        <x:v>PASS — current automated and browser regression gates satisfy the story; prior evidence remains linked in Notes.</x:v>
      </x:c>
      <x:c r="V24" s="14" t="str">
        <x:v>Verified</x:v>
      </x:c>
      <x:c r="W24" s="14" t="str">
        <x:v>No</x:v>
      </x:c>
      <x:c r="X24" s="14" t="str">
        <x:v>Evidence: qa_evidence/persona-audit/persona-retest-after.txt; qa_evidence/persona-audit/lighthouse-mobile-final.json Prior evidence retained; included in 2026-08-29 full-site regression pass.</x:v>
      </x:c>
      <x:c r="Y24" s="14" t="str">
        <x:v>Audit the MIRROR//LOOP website from several different user personas and improve it.</x:v>
      </x:c>
    </x:row>
    <x:row r="25">
      <x:c r="A25" s="14" t="str">
        <x:v>F-024</x:v>
      </x:c>
      <x:c r="B25" s="14" t="str">
        <x:v>Privacy-conscious anonymous journey</x:v>
      </x:c>
      <x:c r="C25" s="14" t="str">
        <x:v>Persona journey</x:v>
      </x:c>
      <x:c r="D25" s="14" t="str">
        <x:v>web/index.html; web/app.js; web/privacy.html; web/lib/analytics.js</x:v>
      </x:c>
      <x:c r="E25" s="14" t="str">
        <x:v>Landing through result without subscription</x:v>
      </x:c>
      <x:c r="F25" s="14" t="str">
        <x:v>Privacy-conscious visitor</x:v>
      </x:c>
      <x:c r="G25" s="14" t="str">
        <x:v>As a privacy-conscious visitor, I want to complete the reflection anonymously and understand any measurement that occurs, so that I remain in control of my information.</x:v>
      </x:c>
      <x:c r="H25" s="14" t="str">
        <x:v>The visitor can reach the result without email; concise privacy information is available before starting; analytics and email collection are explained in accessible language; no hidden form or challenge blocks anonymous completion.</x:v>
      </x:c>
      <x:c r="I25" s="14" t="str">
        <x:v>PASS — current automated and browser regression gates satisfy the story; prior evidence remains linked in Notes.</x:v>
      </x:c>
      <x:c r="J25" s="14" t="str">
        <x:v>Verified</x:v>
      </x:c>
      <x:c r="K25" s="14" t="str">
        <x:v>Persona walkthrough + automated + browser</x:v>
      </x:c>
      <x:c r="L25" s="14" t="str">
        <x:v>Complete the quiz without email; inspect browser storage and network payloads; find privacy disclosure from the initial journey; verify the privacy notice distinguishes aggregate analytics from subscription data.</x:v>
      </x:c>
      <x:c r="M25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5" s="14" t="str"/>
      <x:c r="O25" s="14" t="str">
        <x:v>None</x:v>
      </x:c>
      <x:c r="P25" s="14" t="str">
        <x:v>No</x:v>
      </x:c>
      <x:c r="Q25" s="14" t="str">
        <x:v>Added point-of-decision privacy copy and deferred third-party Turnstile loading until the optional email form appears after the result.</x:v>
      </x:c>
      <x:c r="R25" s="14" t="str">
        <x:v>web/index.html; web/app.js; scripts/validate-site.mjs</x:v>
      </x:c>
      <x:c r="S25" s="14" t="str">
        <x:v>7f06937bcbdb9d91c2c243920f8d68a06784f064</x:v>
      </x:c>
      <x:c r="T25" s="14" t="str">
        <x:v>Repeat the persona walkthrough and all affected existing feature stories after any tracker-backed fix.</x:v>
      </x:c>
      <x:c r="U25" s="14" t="str">
        <x:v>PASS — current automated and browser regression gates satisfy the story; prior evidence remains linked in Notes.</x:v>
      </x:c>
      <x:c r="V25" s="14" t="str">
        <x:v>Verified</x:v>
      </x:c>
      <x:c r="W25" s="14" t="str">
        <x:v>No</x:v>
      </x:c>
      <x:c r="X25" s="14" t="str">
        <x:v>Evidence: qa_evidence/persona-audit/persona-retest-after.txt; qa_evidence/persona-audit/production-route-and-copy-checks.txt Prior evidence retained; included in 2026-08-29 full-site regression pass.</x:v>
      </x:c>
      <x:c r="Y25" s="14" t="str">
        <x:v>Audit the MIRROR//LOOP website from several different user personas and improve it.</x:v>
      </x:c>
    </x:row>
    <x:row r="26">
      <x:c r="A26" s="14" t="str">
        <x:v>F-025</x:v>
      </x:c>
      <x:c r="B26" s="14" t="str">
        <x:v>Keyboard and screen-reader quiz journey</x:v>
      </x:c>
      <x:c r="C26" s="14" t="str">
        <x:v>Persona journey</x:v>
      </x:c>
      <x:c r="D26" s="14" t="str">
        <x:v>web/index.html; web/app.js; web/styles.css</x:v>
      </x:c>
      <x:c r="E26" s="14" t="str">
        <x:v>Landing, quiz, result, subscription form</x:v>
      </x:c>
      <x:c r="F26" s="14" t="str">
        <x:v>Keyboard-only and screen-reader user</x:v>
      </x:c>
      <x:c r="G26" s="14" t="str">
        <x:v>As a keyboard or screen-reader user, I want meaningful focus, group labels, progress, status, and error announcements, so that I can complete every public flow independently.</x:v>
      </x:c>
      <x:c r="H26" s="14" t="str">
        <x:v>Tab order follows the visual flow; focus is visible; each question and answer group is announced; progress changes are understandable; selected answers expose state; result and form status receive meaningful announcements; no keyboard trap exists.</x:v>
      </x:c>
      <x:c r="I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J26" s="14" t="str">
        <x:v>Verified</x:v>
      </x:c>
      <x:c r="K26" s="14" t="str">
        <x:v>Persona walkthrough + automated + browser</x:v>
      </x:c>
      <x:c r="L26" s="14" t="str">
        <x:v>Use keyboard only from skip link through result and subscription controls; inspect the accessibility tree at each major state; test reduced motion; run Lighthouse accessibility and check focus after answer, Next, Back, result, and retake.</x:v>
      </x:c>
      <x:c r="M26" s="14" t="str">
        <x:v>PASS — skip link, visible focus, answer button state, group labels, question focus transitions, result semantics, and mobile Lighthouse accessibility all passed.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6" s="14" t="str"/>
      <x:c r="O26" s="14" t="str">
        <x:v>None</x:v>
      </x:c>
      <x:c r="P26" s="14" t="str">
        <x:v>No</x:v>
      </x:c>
      <x:c r="Q26" s="14" t="str">
        <x:v>No change required.</x:v>
      </x:c>
      <x:c r="R26" s="14" t="str"/>
      <x:c r="S26" s="14" t="str">
        <x:v>7f06937bcbdb9d91c2c243920f8d68a06784f064</x:v>
      </x:c>
      <x:c r="T26" s="14" t="str">
        <x:v>Repeat keyboard selection, disclosure operation, Next/Back focus movement, result focus, retake, overflow, and Lighthouse checks after the adjacent quiz redesign.</x:v>
      </x:c>
      <x:c r="U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V26" s="14" t="str">
        <x:v>Verified</x:v>
      </x:c>
      <x:c r="W26" s="14" t="str">
        <x:v>No</x:v>
      </x:c>
      <x:c r="X26" s="14" t="str">
        <x:v>Evidence: qa_evidence/persona-audit/persona-findings-before.txt; qa_evidence/persona-audit/persona-retest-after.txt; qa_evidence/persona-audit/lighthouse-mobile-final.json. Prior evidence retained; included in 2026-08-29 full-site regression pass.</x:v>
      </x:c>
      <x:c r="Y26" s="14" t="str">
        <x:v>Audit the MIRROR//LOOP website from several different user personas and improve it.</x:v>
      </x:c>
    </x:row>
    <x:row r="27">
      <x:c r="A27" s="14" t="str">
        <x:v>F-026</x:v>
      </x:c>
      <x:c r="B27" s="14" t="str">
        <x:v>Emotionally vulnerable visitor safety</x:v>
      </x:c>
      <x:c r="C27" s="14" t="str">
        <x:v>Persona journey</x:v>
      </x:c>
      <x:c r="D27" s="14" t="str">
        <x:v>web/index.html; web/data/quiz.json; web/lib/quiz-core.js</x:v>
      </x:c>
      <x:c r="E27" s="14" t="str">
        <x:v>Quiz questions and result</x:v>
      </x:c>
      <x:c r="F27" s="14" t="str">
        <x:v>Visitor seeking meaning during stress</x:v>
      </x:c>
      <x:c r="G27" s="14" t="str">
        <x:v>As a visitor using the reflection during a stressful moment, I want language that is nonjudgmental and actionable, so that the result supports reflection without defining or alarming me.</x:v>
      </x:c>
      <x:c r="H27" s="14" t="str">
        <x:v>Questions avoid shame and deterministic labels; the result explains strengths and limits in ordinary language; the suggested action is small and safe; the experience does not imply crisis, fate, pathology, or guaranteed transformation.</x:v>
      </x:c>
      <x:c r="I27" s="14" t="str">
        <x:v>PASS — current automated and browser regression gates satisfy the story; prior evidence remains linked in Notes.</x:v>
      </x:c>
      <x:c r="J27" s="14" t="str">
        <x:v>Verified</x:v>
      </x:c>
      <x:c r="K27" s="14" t="str">
        <x:v>Persona walkthrough + automated + browser</x:v>
      </x:c>
      <x:c r="L27" s="14" t="str">
        <x:v>Read every question, all answer options, all 12 result summaries, and prompts through a psychological-safety lens; verify boundary language and check whether loaded labels are explained or softened.</x:v>
      </x:c>
      <x:c r="M27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7" s="14" t="str"/>
      <x:c r="O27" s="14" t="str">
        <x:v>None</x:v>
      </x:c>
      <x:c r="P27" s="14" t="str">
        <x:v>No</x:v>
      </x:c>
      <x:c r="Q27" s="14" t="str">
        <x:v>Rewrote loaded question topics and selected answer labels in calm, ordinary language while preserving intent and scoring codes.</x:v>
      </x:c>
      <x:c r="R27" s="14" t="str">
        <x:v>web/data/quiz.json; web/tests/quiz-core.test.mjs</x:v>
      </x:c>
      <x:c r="S27" s="14" t="str">
        <x:v>7f06937bcbdb9d91c2c243920f8d68a06784f064</x:v>
      </x:c>
      <x:c r="T27" s="14" t="str">
        <x:v>Repeat the persona walkthrough and all affected existing feature stories after any tracker-backed fix.</x:v>
      </x:c>
      <x:c r="U27" s="14" t="str">
        <x:v>PASS — current automated and browser regression gates satisfy the story; prior evidence remains linked in Notes.</x:v>
      </x:c>
      <x:c r="V27" s="14" t="str">
        <x:v>Verified</x:v>
      </x:c>
      <x:c r="W27" s="14" t="str">
        <x:v>No</x:v>
      </x:c>
      <x:c r="X27" s="14" t="str">
        <x:v>Evidence: qa_evidence/persona-audit/persona-retest-after.txt Prior evidence retained; included in 2026-08-29 full-site regression pass.</x:v>
      </x:c>
      <x:c r="Y27" s="14" t="str">
        <x:v>Audit the MIRROR//LOOP website from several different user personas and improve it.</x:v>
      </x:c>
    </x:row>
    <x:row r="28">
      <x:c r="A28" s="14" t="str">
        <x:v>F-027</x:v>
      </x:c>
      <x:c r="B28" s="14" t="str">
        <x:v>Returning visitor result comprehension</x:v>
      </x:c>
      <x:c r="C28" s="14" t="str">
        <x:v>Persona journey</x:v>
      </x:c>
      <x:c r="D28" s="14" t="str">
        <x:v>web/index.html; web/app.js; web/lib/quiz-core.js</x:v>
      </x:c>
      <x:c r="E28" s="14" t="str">
        <x:v>Result, supporting pattern, retake, email offer</x:v>
      </x:c>
      <x:c r="F28" s="14" t="str">
        <x:v>Returning or comparison-oriented visitor</x:v>
      </x:c>
      <x:c r="G28" s="14" t="str">
        <x:v>As a returning visitor, I want to understand the primary and supporting patterns and retake intentionally, so that I can compare reflections without mistaking them for permanent scores.</x:v>
      </x:c>
      <x:c r="H28" s="14" t="str">
        <x:v>The result explains why two patterns are shown, what each contributes, and what changes on retake; the visitor can retake without stale answers or mandatory subscription.</x:v>
      </x:c>
      <x:c r="I28" s="14" t="str">
        <x:v>PASS — current automated and browser regression gates satisfy the story; prior evidence remains linked in Notes.</x:v>
      </x:c>
      <x:c r="J28" s="14" t="str">
        <x:v>Verified</x:v>
      </x:c>
      <x:c r="K28" s="14" t="str">
        <x:v>Persona walkthrough + automated + browser</x:v>
      </x:c>
      <x:c r="L28" s="14" t="str">
        <x:v>Complete the quiz with a known answer sequence; assess whether primary and supporting pattern meanings are self-contained; retake with a different sequence; verify answers reset and result framing remains a current snapshot.</x:v>
      </x:c>
      <x:c r="M28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8" s="14" t="str"/>
      <x:c r="O28" s="14" t="str">
        <x:v>None</x:v>
      </x:c>
      <x:c r="P28" s="14" t="str">
        <x:v>No</x:v>
      </x:c>
      <x:c r="Q28" s="14" t="str">
        <x:v>Added primary frequency, supporting-pattern explanation and frequency, and a zero-count safeguard; retained complete retake reset behavior.</x:v>
      </x:c>
      <x:c r="R28" s="14" t="str">
        <x:v>web/app.js; web/index.html; web/lib/quiz-core.js; web/styles.css; web/tests/quiz-core.test.mjs</x:v>
      </x:c>
      <x:c r="S28" s="14" t="str">
        <x:v>7f06937bcbdb9d91c2c243920f8d68a06784f064</x:v>
      </x:c>
      <x:c r="T28" s="14" t="str">
        <x:v>Repeat the persona walkthrough and all affected existing feature stories after any tracker-backed fix.</x:v>
      </x:c>
      <x:c r="U28" s="14" t="str">
        <x:v>PASS — current automated and browser regression gates satisfy the story; prior evidence remains linked in Notes.</x:v>
      </x:c>
      <x:c r="V28" s="14" t="str">
        <x:v>Verified</x:v>
      </x:c>
      <x:c r="W28" s="14" t="str">
        <x:v>No</x:v>
      </x:c>
      <x:c r="X28" s="14" t="str">
        <x:v>Evidence: qa_evidence/persona-audit/persona-retest-after.txt Prior evidence retained; included in 2026-08-29 full-site regression pass.</x:v>
      </x:c>
      <x:c r="Y28" s="14" t="str">
        <x:v>Audit the MIRROR//LOOP website from several different user personas and improve it.</x:v>
      </x:c>
    </x:row>
    <x:row r="29">
      <x:c r="A29" s="14" t="str">
        <x:v>F-028</x:v>
      </x:c>
      <x:c r="B29" s="14" t="str">
        <x:v>Release asset coherence</x:v>
      </x:c>
      <x:c r="C29" s="14" t="str">
        <x:v>Production delivery</x:v>
      </x:c>
      <x:c r="D29" s="14" t="str">
        <x:v>web/index.html; web/privacy.html; web/confirmed.html; web/app.js; web/styles.css</x:v>
      </x:c>
      <x:c r="E29" s="14" t="str">
        <x:v>All production pages after a deploy</x:v>
      </x:c>
      <x:c r="F29" s="14" t="str">
        <x:v>Returning visitor with cached assets</x:v>
      </x:c>
      <x:c r="G29" s="14" t="str">
        <x:v>As a returning visitor, I want each deployed page to load mutually compatible code and styles, so that an update cannot leave me with a broken mixed-version experience.</x:v>
      </x:c>
      <x:c r="H29" s="14" t="str">
        <x:v>HTML references versioned app and style assets; app module imports are versioned together; a production reload after deployment exposes the new DOM behavior without requiring users to clear their browser cache.</x:v>
      </x:c>
      <x:c r="I29" s="14" t="str">
        <x:v>PASS — production now serves the audited WebMCP release with the origin-trial token, current versioned bundles, active shop configuration, and matching metadata.</x:v>
      </x:c>
      <x:c r="J29" s="14" t="str">
        <x:v>Fixed</x:v>
      </x:c>
      <x:c r="K29" s="14" t="str">
        <x:v>Production cache regression</x:v>
      </x:c>
      <x:c r="L29" s="14" t="str">
        <x:v>Deploy changed HTML, CSS, app.js, and module dependencies; reload from an existing browser session; verify the new section labels, response-group elements, styling, and result behavior load as one release.</x:v>
      </x:c>
      <x:c r="M29" s="14" t="str">
        <x:v>PASS — local and deployed asset markers match the audited release. Evidence: qa_evidence/feature-audit-2026-08-29/commands/production-retest.txt; qa_evidence/feature-audit-2026-08-29/commands/firebase-hosting-deploy.txt.</x:v>
      </x:c>
      <x:c r="N29" s="14" t="str">
        <x:v>INITIAL FAILURE — Public release is not coherent with the competition repository.</x:v>
      </x:c>
      <x:c r="O29" s="14" t="str">
        <x:v>Critical</x:v>
      </x:c>
      <x:c r="P29" s="14" t="str">
        <x:v>Yes</x:v>
      </x:c>
      <x:c r="Q29" s="14" t="str">
        <x:v>Deployed the versioned static bundle and verified release markers, security headers, and API health on mirrorloopai.com.</x:v>
      </x:c>
      <x:c r="R29" s="14" t="str">
        <x:v>web/index.html; web/app.js; web/config.js; web/lib/webmcp.js; web/shop.html; web/shop.js; web/styles.css; web/llms.txt</x:v>
      </x:c>
      <x:c r="S29" s="14" t="str">
        <x:v>9740b57</x:v>
      </x:c>
      <x:c r="T29" s="14" t="str">
        <x:v>Repeat the documented scenario on the deployed origin and rerun the targeted automated and browser regression gates.</x:v>
      </x:c>
      <x:c r="U29" s="14" t="str">
        <x:v>PASS — public origin reports app.js?v=20260829-3, origin trial present, WebMCP import present, shop enabled, and API health OK.</x:v>
      </x:c>
      <x:c r="V29" s="14" t="str">
        <x:v>Verified</x:v>
      </x:c>
      <x:c r="W29" s="14" t="str">
        <x:v>No</x:v>
      </x:c>
      <x:c r="X29" s="14" t="str">
        <x:v>Evidence: qa_evidence/persona-audit/production-route-and-copy-checks.txt; qa_evidence/persona-audit/persona-retest-after.txt Prior evidence retained; included in 2026-08-29 full-site regression pass. Initial failed test retained: FAIL — Production still serves /app.js?v=20260826-3 and lacks the origin-trial token, WebMCP status, and WebMCP import, while local source is v20260829-2. Evidence: qa_evidence/feature-audit-2026-08-29/commands/production-audit.txt.</x:v>
      </x:c>
      <x:c r="Y29" s="14" t="str">
        <x:v>Audit the MIRROR//LOOP website from several different user personas and improve it.</x:v>
      </x:c>
    </x:row>
    <x:row r="30">
      <x:c r="A30" s="14" t="str">
        <x:v>EM-001</x:v>
      </x:c>
      <x:c r="B30" s="14" t="str">
        <x:v>Confirmation email expectation and consent clarity</x:v>
      </x:c>
      <x:c r="C30" s="14" t="str">
        <x:v>Subscriber email</x:v>
      </x:c>
      <x:c r="D30" s="14" t="str">
        <x:v>api/internal/subscriber/mailer.go; api/internal/subscriber/mailer_test.go</x:v>
      </x:c>
      <x:c r="E30" s="14" t="str">
        <x:v>Post-quiz confirmation email</x:v>
      </x:c>
      <x:c r="F30" s="14" t="str">
        <x:v>Quiz participant awaiting email</x:v>
      </x:c>
      <x:c r="G30" s="14" t="str">
        <x:v>As a quiz participant, I want the first email to explain what I requested and what confirming means, so that I can make an informed choice before joining the launch list.</x:v>
      </x:c>
      <x:c r="H30" s="14" t="str">
        <x:v>The confirmation email states that the user requested a reflection, that the review page requires a deliberate confirmation, that confirmation sends the reflection and joins the occasional launch list, that unsubscribing is always available, and that the link expires in 48 hours. HTML and plain-text versions carry the same meaning.</x:v>
      </x:c>
      <x:c r="I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J30" s="14" t="str">
        <x:v>Verified</x:v>
      </x:c>
      <x:c r="K30" s="14" t="str">
        <x:v>Automated Test + Code Review</x:v>
      </x:c>
      <x:c r="L30" s="14" t="str">
        <x:v>Capture the Resend payload from SendConfirmation; assert subject, HTML, and text explicitly describe the requested reflection, scanner-safe review step, launch-list consent, unsubscribe control, 48-hour expiry, and visible fallback URL.</x:v>
      </x:c>
      <x:c r="M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0" s="14" t="str"/>
      <x:c r="O30" s="14" t="str">
        <x:v>None</x:v>
      </x:c>
      <x:c r="P30" s="14" t="str">
        <x:v>No</x:v>
      </x:c>
      <x:c r="Q30" s="14" t="str">
        <x:v>Implemented explicit request context, dual-purpose confirmation disclosure, scanner-safe review wording, 48-hour expiry, unsubscribe control, fallback URL, preheader, and matching text body.</x:v>
      </x:c>
      <x:c r="R30" s="14" t="str">
        <x:v>api/internal/subscriber/mailer.go; api/internal/subscriber/mailer_test.go</x:v>
      </x:c>
      <x:c r="S30" s="14" t="str">
        <x:v>4d835111b8ee24560deabafe60efc8499dc105ec</x:v>
      </x:c>
      <x:c r="T30" s="14" t="str">
        <x:v>Run the same payload test after the tracker-backed fix; inspect both MIME alternatives for semantic parity and escaped links.</x:v>
      </x:c>
      <x:c r="U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V30" s="14" t="str">
        <x:v>Verified</x:v>
      </x:c>
      <x:c r="W30" s="14" t="str">
        <x:v>No</x:v>
      </x:c>
      <x:c r="X30" s="14" t="str">
        <x:v>Audit scope is the email experience after the optional post-result signup. Baseline evidence: qa_evidence/email-audit/baseline-tests.txt. Final audit report: feature_qa_report.html. Prior evidence retained; included in 2026-08-29 full-site regression pass.</x:v>
      </x:c>
      <x:c r="Y30" s="14" t="str">
        <x:v>Audit what users receive by email after the quiz, suggest improvements, and implement them so the website can build an audience before App Store release.</x:v>
      </x:c>
    </x:row>
    <x:row r="31">
      <x:c r="A31" s="14" t="str">
        <x:v>EM-002</x:v>
      </x:c>
      <x:c r="B31" s="14" t="str">
        <x:v>Reflection email value parity</x:v>
      </x:c>
      <x:c r="C31" s="14" t="str">
        <x:v>Subscriber email and scoring</x:v>
      </x:c>
      <x:c r="D31" s="14" t="str">
        <x:v>api/internal/subscriber/model.go; api/internal/subscriber/mailer.go; web/lib/quiz-core.js; api/internal/subscriber/model_test.go; api/internal/subscriber/mailer_test.go</x:v>
      </x:c>
      <x:c r="E31" s="14" t="str">
        <x:v>Confirmed reflection email</x:v>
      </x:c>
      <x:c r="F31" s="14" t="str">
        <x:v>Confirmed subscriber</x:v>
      </x:c>
      <x:c r="G31" s="14" t="str">
        <x:v>As a confirmed subscriber, I want the emailed reflection to preserve the useful meaning I saw after the quiz, so that the message is worth keeping and acting on.</x:v>
      </x:c>
      <x:c r="H31" s="14" t="str">
        <x:v>The email includes the primary pattern name, plain-language domain, concise interpretation, observed count out of 12, one practical prompt, and the same non-diagnostic boundary as the browser result.</x:v>
      </x:c>
      <x:c r="I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J31" s="14" t="str">
        <x:v>Verified</x:v>
      </x:c>
      <x:c r="K31" s="14" t="str">
        <x:v>Automated Test + Cross-surface Review</x:v>
      </x:c>
      <x:c r="L31" s="14" t="str">
        <x:v>Score a known 12-answer set; capture SendReflection; compare primary domain, summary, count, practical prompt, and boundary against the canonical browser copy contract.</x:v>
      </x:c>
      <x:c r="M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1" s="14" t="str"/>
      <x:c r="O31" s="14" t="str">
        <x:v>None</x:v>
      </x:c>
      <x:c r="P31" s="14" t="str">
        <x:v>No</x:v>
      </x:c>
      <x:c r="Q31" s="14" t="str">
        <x:v>Added canonical plain-language domains and reflection copy, stored evidence counts, result-bearing subject, primary interpretation, observed frequency, and practical prompt in HTML and text.</x:v>
      </x:c>
      <x:c r="R31" s="14" t="str">
        <x:v>api/internal/subscriber/model.go; api/internal/subscriber/model_test.go; api/internal/subscriber/mailer.go; api/internal/subscriber/mailer_test.go; api/internal/subscriber/service_test.go</x:v>
      </x:c>
      <x:c r="S31" s="14" t="str">
        <x:v>4d835111b8ee24560deabafe60efc8499dc105ec</x:v>
      </x:c>
      <x:c r="T31" s="14" t="str">
        <x:v>Run model and mailer parity tests; inspect rendered HTML text and plain-text payload for all required content.</x:v>
      </x:c>
      <x:c r="U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V31" s="14" t="str">
        <x:v>Verified</x:v>
      </x:c>
      <x:c r="W31" s="14" t="str">
        <x:v>No</x:v>
      </x:c>
      <x:c r="X31" s="14" t="str">
        <x:v>The backend remains authoritative and stores only the compact scored result, not individual answers. Baseline evidence: qa_evidence/email-audit/baseline-tests.txt. Final audit report: feature_qa_report.html. Prior evidence retained; included in 2026-08-29 full-site regression pass.</x:v>
      </x:c>
      <x:c r="Y31" s="14" t="str">
        <x:v>Audit what users receive by email after the quiz, suggest improvements, and implement them so the website can build an audience before App Store release.</x:v>
      </x:c>
    </x:row>
    <x:row r="32">
      <x:c r="A32" s="14" t="str">
        <x:v>EM-003</x:v>
      </x:c>
      <x:c r="B32" s="14" t="str">
        <x:v>Supporting-pattern evidence honesty</x:v>
      </x:c>
      <x:c r="C32" s="14" t="str">
        <x:v>Subscriber scoring and email</x:v>
      </x:c>
      <x:c r="D32" s="14" t="str">
        <x:v>api/internal/subscriber/model.go; api/internal/subscriber/model_test.go; api/internal/subscriber/mailer.go; api/internal/subscriber/mailer_test.go</x:v>
      </x:c>
      <x:c r="E32" s="14" t="str">
        <x:v>Confirmed reflection email supporting section</x:v>
      </x:c>
      <x:c r="F32" s="14" t="str">
        <x:v>Confirmed subscriber</x:v>
      </x:c>
      <x:c r="G32" s="14" t="str">
        <x:v>As a confirmed subscriber, I want a supporting pattern shown only when my choices support it, so that the email does not invent a second result.</x:v>
      </x:c>
      <x:c r="H32" s="14" t="str">
        <x:v>A nonzero supporting pattern includes its name, plain-language summary, and observed count; when all 12 answers select one pattern, no zero-count supporting archetype is assigned or presented.</x:v>
      </x:c>
      <x:c r="I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J32" s="14" t="str">
        <x:v>Verified</x:v>
      </x:c>
      <x:c r="K32" s="14" t="str">
        <x:v>Automated Test</x:v>
      </x:c>
      <x:c r="L32" s="14" t="str">
        <x:v>Score twelve identical answers and assert there is no supporting pattern; score a split answer set and assert the supporting code and count are deterministic; capture both reflection emails and verify conditional rendering.</x:v>
      </x:c>
      <x:c r="M32" s="14" t="str">
        <x:v>PASS — Score now records deterministic counts and assigns a supporting pattern only when its count is greater than zero; email rendering enforces the same condition.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2" s="14" t="str"/>
      <x:c r="O32" s="14" t="str">
        <x:v>None</x:v>
      </x:c>
      <x:c r="P32" s="14" t="str">
        <x:v>No</x:v>
      </x:c>
      <x:c r="Q32" s="14" t="str">
        <x:v>Score now records deterministic counts and assigns a supporting pattern only when its count is greater than zero; email rendering enforces the same condition.</x:v>
      </x:c>
      <x:c r="R32" s="14" t="str">
        <x:v>api/internal/subscriber/model.go; api/internal/subscriber/model_test.go; api/internal/subscriber/mailer.go; api/internal/subscriber/mailer_test.go; api/internal/subscriber/service_test.go</x:v>
      </x:c>
      <x:c r="S32" s="14" t="str">
        <x:v>4d835111b8ee24560deabafe60efc8499dc105ec</x:v>
      </x:c>
      <x:c r="T32" s="14" t="str">
        <x:v>Rerun zero-support and nonzero-support scoring and email payload tests after the fix.</x:v>
      </x:c>
      <x:c r="U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V32" s="14" t="str">
        <x:v>Verified</x:v>
      </x:c>
      <x:c r="W32" s="14" t="str">
        <x:v>No</x:v>
      </x:c>
      <x:c r="X32" s="14" t="str">
        <x:v>Aligns the email with the browser’s existing supportingPattern zero-count safeguard. Baseline evidence: qa_evidence/email-audit/baseline-tests.txt. Final audit report: feature_qa_report.html. Prior evidence retained; included in 2026-08-29 full-site regression pass.</x:v>
      </x:c>
      <x:c r="Y32" s="14" t="str">
        <x:v>Audit what users receive by email after the quiz, suggest improvements, and implement them so the website can build an audience before App Store release.</x:v>
      </x:c>
    </x:row>
    <x:row r="33">
      <x:c r="A33" s="14" t="str">
        <x:v>EM-004</x:v>
      </x:c>
      <x:c r="B33" s="14" t="str">
        <x:v>Accessible and resilient email rendering</x:v>
      </x:c>
      <x:c r="C33" s="14" t="str">
        <x:v>Subscriber email</x:v>
      </x:c>
      <x:c r="D33" s="14" t="str">
        <x:v>api/internal/subscriber/mailer.go; api/internal/subscriber/mailer_test.go</x:v>
      </x:c>
      <x:c r="E33" s="14" t="str">
        <x:v>Confirmation and reflection emails</x:v>
      </x:c>
      <x:c r="F33" s="14" t="str">
        <x:v>Mobile, assistive-technology, or plain-text email user</x:v>
      </x:c>
      <x:c r="G33" s="14" t="str">
        <x:v>As a subscriber using any common email client or assistive technology, I want a readable message and usable links, so that I can complete the flow without relying on rich HTML.</x:v>
      </x:c>
      <x:c r="H33" s="14" t="str">
        <x:v>Each email provides semantic, mobile-friendly inline-styled HTML; hidden preheader text; descriptive link labels; a visible copyable fallback URL where action is required; escaped dynamic values; and a complete plain-text alternative.</x:v>
      </x:c>
      <x:c r="I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J33" s="14" t="str">
        <x:v>Verified</x:v>
      </x:c>
      <x:c r="K33" s="14" t="str">
        <x:v>Automated Test + Accessibility Review</x:v>
      </x:c>
      <x:c r="L33" s="14" t="str">
        <x:v>Capture both Resend payloads; assert html and text parts exist; verify preheader, heading hierarchy, descriptive links, fallback URL, no external tracking image, and escaping of dynamic values.</x:v>
      </x:c>
      <x:c r="M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3" s="14" t="str"/>
      <x:c r="O33" s="14" t="str">
        <x:v>None</x:v>
      </x:c>
      <x:c r="P33" s="14" t="str">
        <x:v>No</x:v>
      </x:c>
      <x:c r="Q33" s="14" t="str">
        <x:v>Added complete plain-text bodies, hidden preheaders, semantic table-based email layout, inline styles, descriptive action labels, fallback URL, escaping, and no remote images.</x:v>
      </x:c>
      <x:c r="R33" s="14" t="str">
        <x:v>api/internal/subscriber/mailer.go; api/internal/subscriber/mailer_test.go</x:v>
      </x:c>
      <x:c r="S33" s="14" t="str">
        <x:v>4d835111b8ee24560deabafe60efc8499dc105ec</x:v>
      </x:c>
      <x:c r="T33" s="14" t="str">
        <x:v>Rerun payload tests and inspect generated HTML for semantic structure, inline styles, mobile width, and no unescaped dynamic content.</x:v>
      </x:c>
      <x:c r="U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V33" s="14" t="str">
        <x:v>Verified</x:v>
      </x:c>
      <x:c r="W33" s="14" t="str">
        <x:v>No</x:v>
      </x:c>
      <x:c r="X33" s="14" t="str">
        <x:v>No tracking pixels or remote images should be added. Baseline evidence: qa_evidence/email-audit/baseline-tests.txt. Final audit report: feature_qa_report.html. Prior evidence retained; included in 2026-08-29 full-site regression pass.</x:v>
      </x:c>
      <x:c r="Y33" s="14" t="str">
        <x:v>Audit what users receive by email after the quiz, suggest improvements, and implement them so the website can build an audience before App Store release.</x:v>
      </x:c>
    </x:row>
    <x:row r="34">
      <x:c r="A34" s="14" t="str">
        <x:v>EM-005</x:v>
      </x:c>
      <x:c r="B34" s="14" t="str">
        <x:v>Launch-list relationship after delivery</x:v>
      </x:c>
      <x:c r="C34" s="14" t="str">
        <x:v>Subscriber email</x:v>
      </x:c>
      <x:c r="D34" s="14" t="str">
        <x:v>api/internal/subscriber/mailer.go; api/internal/subscriber/mailer_test.go</x:v>
      </x:c>
      <x:c r="E34" s="14" t="str">
        <x:v>Confirmed reflection email footer</x:v>
      </x:c>
      <x:c r="F34" s="14" t="str">
        <x:v>Confirmed launch-list subscriber</x:v>
      </x:c>
      <x:c r="G34" s="14" t="str">
        <x:v>As a launch-list subscriber, I want the delivered reflection to explain the ongoing relationship and my control, so that later product updates are expected rather than surprising.</x:v>
      </x:c>
      <x:c r="H34" s="14" t="str">
        <x:v>The reflection email states that confirmation placed the user on the MIRROR//LOOP launch list for occasional App Store release and product updates, provides a working unsubscribe action, and names a monitored Reply-To route for help.</x:v>
      </x:c>
      <x:c r="I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J34" s="14" t="str">
        <x:v>Verified</x:v>
      </x:c>
      <x:c r="K34" s="14" t="str">
        <x:v>Automated Test + Content Review</x:v>
      </x:c>
      <x:c r="L34" s="14" t="str">
        <x:v>Capture the confirmed reflection payload; assert launch-list purpose, expected low-frequency update category, unsubscribe control, and configured Reply-To metadata are present without marketing overclaim.</x:v>
      </x:c>
      <x:c r="M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4" s="14" t="str"/>
      <x:c r="O34" s="14" t="str">
        <x:v>None</x:v>
      </x:c>
      <x:c r="P34" s="14" t="str">
        <x:v>No</x:v>
      </x:c>
      <x:c r="Q34" s="14" t="str">
        <x:v>Reflection delivery now explains occasional App Store release and product updates, states that it is not a daily newsletter, preserves unsubscribe, and invites replies through configured Reply-To.</x:v>
      </x:c>
      <x:c r="R34" s="14" t="str">
        <x:v>api/internal/subscriber/mailer.go; api/internal/subscriber/mailer_test.go</x:v>
      </x:c>
      <x:c r="S34" s="14" t="str">
        <x:v>4d835111b8ee24560deabafe60efc8499dc105ec</x:v>
      </x:c>
      <x:c r="T34" s="14" t="str">
        <x:v>Run reflection payload and Reply-To regression tests after the tracker-backed fix.</x:v>
      </x:c>
      <x:c r="U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V34" s="14" t="str">
        <x:v>Verified</x:v>
      </x:c>
      <x:c r="W34" s="14" t="str">
        <x:v>No</x:v>
      </x:c>
      <x:c r="X34" s="14" t="str">
        <x:v>The existing consent copy already authorizes the reflection and occasional MIRROR//LOOP updates. Baseline evidence: qa_evidence/email-audit/baseline-tests.txt. Final audit report: feature_qa_report.html. Prior evidence retained; included in 2026-08-29 full-site regression pass.</x:v>
      </x:c>
      <x:c r="Y34" s="14" t="str">
        <x:v>Audit what users receive by email after the quiz, suggest improvements, and implement them so the website can build an audience before App Store release.</x:v>
      </x:c>
    </x:row>
    <x:row r="35">
      <x:c r="A35" s="14" t="str">
        <x:v>ST-001</x:v>
      </x:c>
      <x:c r="B35" s="14" t="str">
        <x:v>Storefront orientation</x:v>
      </x:c>
      <x:c r="C35" s="14" t="str">
        <x:v>Storefront</x:v>
      </x:c>
      <x:c r="D35" s="14" t="str">
        <x:v>web/shop.html; web/shop.js; web/styles.css</x:v>
      </x:c>
      <x:c r="E35" s="14" t="str">
        <x:v>/shop</x:v>
      </x:c>
      <x:c r="F35" s="14" t="str">
        <x:v>Prospective buyer</x:v>
      </x:c>
      <x:c r="G35" s="14" t="str">
        <x:v>As a prospective buyer, I want to understand the available digital card editions immediately, so that I can choose the right collection confidently.</x:v>
      </x:c>
      <x:c r="H35" s="14" t="str">
        <x:v>The first viewport clearly states digital fulfillment, ARC versus complete-deck choices, edition differences, and secure checkout without unsupported physical-product claims.</x:v>
      </x:c>
      <x:c r="I35" s="14" t="str">
        <x:v>PASS — desktop/mobile storefront copy identifies digital editions, ARC/complete choices, and secure Stripe checkout without physical claims.</x:v>
      </x:c>
      <x:c r="J35" s="14" t="str">
        <x:v>Verified</x:v>
      </x:c>
      <x:c r="K35" s="14" t="str">
        <x:v>Browser + responsive</x:v>
      </x:c>
      <x:c r="L35" s="14" t="str">
        <x:v>Open /shop at desktop and mobile widths; inspect heading, product promise, fulfillment statement, and first actionable products.</x:v>
      </x:c>
      <x:c r="M35" s="14" t="str">
        <x:v>PASS — desktop/mobile storefront copy identifies digital editions, ARC/complete choices, and secure Stripe checkout without physical claims. Evidence: qa_evidence/feature-audit-2026-08-29/browser/local-browser-audit.json; qa_evidence/feature-audit-2026-08-29/commands/node-gates.txt.</x:v>
      </x:c>
      <x:c r="N35" s="14" t="str"/>
      <x:c r="O35" s="14" t="str">
        <x:v>None</x:v>
      </x:c>
      <x:c r="P35" s="14" t="str">
        <x:v>No</x:v>
      </x:c>
      <x:c r="Q35" s="14" t="str">
        <x:v>No change required.</x:v>
      </x:c>
      <x:c r="R35" s="14" t="str"/>
      <x:c r="S35" s="14" t="str"/>
      <x:c r="T35" s="14" t="str">
        <x:v>Repeat the initial steps after any tracker-backed change and run adjacent regression tests.</x:v>
      </x:c>
      <x:c r="U35" s="14" t="str">
        <x:v>PASS — desktop/mobile storefront copy identifies digital editions, ARC/complete choices, and secure Stripe checkout without physical claims.</x:v>
      </x:c>
      <x:c r="V35" s="14" t="str">
        <x:v>Verified</x:v>
      </x:c>
      <x:c r="W35" s="14" t="str">
        <x:v>No</x:v>
      </x:c>
      <x:c r="X35" s="14" t="str"/>
      <x:c r="Y35" s="14" t="str">
        <x:v>Feature audit: make mirrorloopai.com a first-class WebMCP experience that brings paying users and competes strongly, while preserving explicit human purchase control.</x:v>
      </x:c>
    </x:row>
    <x:row r="36">
      <x:c r="A36" s="14" t="str">
        <x:v>ST-002</x:v>
      </x:c>
      <x:c r="B36" s="14" t="str">
        <x:v>Complete product catalog</x:v>
      </x:c>
      <x:c r="C36" s="14" t="str">
        <x:v>Storefront</x:v>
      </x:c>
      <x:c r="D36" s="14" t="str">
        <x:v>web/data/shop.json; web/shop.js</x:v>
      </x:c>
      <x:c r="E36" s="14" t="str">
        <x:v>/shop#collections; /shop#arcs</x:v>
      </x:c>
      <x:c r="F36" s="14" t="str">
        <x:v>Prospective buyer</x:v>
      </x:c>
      <x:c r="G36" s="14" t="str">
        <x:v>As a buyer, I want to browse every ARC and complete edition, so that I can buy the exact material I want.</x:v>
      </x:c>
      <x:c r="H36" s="14" t="str">
        <x:v>The catalog renders 24 ARC products and four complete products with unique SKU, title, edition, description, and image; no public prices or Stripe IDs appear.</x:v>
      </x:c>
      <x:c r="I36" s="14" t="str">
        <x:v>PASS — 28 products render (24 ARC + 4 complete), all images exist, and public catalog exposes no price or Stripe ID.</x:v>
      </x:c>
      <x:c r="J36" s="14" t="str">
        <x:v>Verified</x:v>
      </x:c>
      <x:c r="K36" s="14" t="str">
        <x:v>Automated + browser</x:v>
      </x:c>
      <x:c r="L36" s="14" t="str">
        <x:v>Validate all 28 catalog entries and images; load /shop and count rendered collection and ARC cards; scan public payload for prices and Stripe identifiers.</x:v>
      </x:c>
      <x:c r="M36" s="14" t="str">
        <x:v>PASS — 28 products render (24 ARC + 4 complete), all images exist, and public catalog exposes no price or Stripe ID. Evidence: qa_evidence/feature-audit-2026-08-29/browser/local-browser-audit.json; qa_evidence/feature-audit-2026-08-29/commands/node-gates.txt.</x:v>
      </x:c>
      <x:c r="N36" s="14" t="str"/>
      <x:c r="O36" s="14" t="str">
        <x:v>None</x:v>
      </x:c>
      <x:c r="P36" s="14" t="str">
        <x:v>No</x:v>
      </x:c>
      <x:c r="Q36" s="14" t="str">
        <x:v>No change required.</x:v>
      </x:c>
      <x:c r="R36" s="14" t="str"/>
      <x:c r="S36" s="14" t="str"/>
      <x:c r="T36" s="14" t="str">
        <x:v>Repeat the initial steps after any tracker-backed change and run adjacent regression tests.</x:v>
      </x:c>
      <x:c r="U36" s="14" t="str">
        <x:v>PASS — 28 products render (24 ARC + 4 complete), all images exist, and public catalog exposes no price or Stripe ID.</x:v>
      </x:c>
      <x:c r="V36" s="14" t="str">
        <x:v>Verified</x:v>
      </x:c>
      <x:c r="W36" s="14" t="str">
        <x:v>No</x:v>
      </x:c>
      <x:c r="X36" s="14" t="str"/>
      <x:c r="Y36" s="14" t="str">
        <x:v>Feature audit: make mirrorloopai.com a first-class WebMCP experience that brings paying users and competes strongly, while preserving explicit human purchase control.</x:v>
      </x:c>
    </x:row>
    <x:row r="37">
      <x:c r="A37" s="14" t="str">
        <x:v>ST-003</x:v>
      </x:c>
      <x:c r="B37" s="14" t="str">
        <x:v>Edition filtering</x:v>
      </x:c>
      <x:c r="C37" s="14" t="str">
        <x:v>Storefront</x:v>
      </x:c>
      <x:c r="D37" s="14" t="str">
        <x:v>web/shop.html; web/shop.js</x:v>
      </x:c>
      <x:c r="E37" s="14" t="str">
        <x:v>/shop#arcs edition filters</x:v>
      </x:c>
      <x:c r="F37" s="14" t="str">
        <x:v>Buyer comparing styles</x:v>
      </x:c>
      <x:c r="G37" s="14" t="str">
        <x:v>As a buyer comparing styles, I want to filter ARC products by Mono or Full Color, so that I can focus on my preferred visual treatment.</x:v>
      </x:c>
      <x:c r="H37" s="14" t="str">
        <x:v>All, Mono, and Full Color controls expose selected state and render 24, 12, and 12 ARC products respectively without hiding complete collections.</x:v>
      </x:c>
      <x:c r="I37" s="14" t="str">
        <x:v>PASS — All/Mono/Full Color filters render 24/12/12 ARC cards with aria-pressed=true on the active control.</x:v>
      </x:c>
      <x:c r="J37" s="14" t="str">
        <x:v>Verified</x:v>
      </x:c>
      <x:c r="K37" s="14" t="str">
        <x:v>Browser interaction</x:v>
      </x:c>
      <x:c r="L37" s="14" t="str">
        <x:v>Activate each filter with mouse and keyboard; verify aria-pressed state and visible ARC/collection counts.</x:v>
      </x:c>
      <x:c r="M37" s="14" t="str">
        <x:v>PASS — All/Mono/Full Color filters render 24/12/12 ARC cards with aria-pressed=true on the active control. Evidence: qa_evidence/feature-audit-2026-08-29/browser/local-browser-audit.json; qa_evidence/feature-audit-2026-08-29/commands/node-gates.txt.</x:v>
      </x:c>
      <x:c r="N37" s="14" t="str"/>
      <x:c r="O37" s="14" t="str">
        <x:v>None</x:v>
      </x:c>
      <x:c r="P37" s="14" t="str">
        <x:v>No</x:v>
      </x:c>
      <x:c r="Q37" s="14" t="str">
        <x:v>No change required.</x:v>
      </x:c>
      <x:c r="R37" s="14" t="str"/>
      <x:c r="S37" s="14" t="str"/>
      <x:c r="T37" s="14" t="str">
        <x:v>Repeat the initial steps after any tracker-backed change and run adjacent regression tests.</x:v>
      </x:c>
      <x:c r="U37" s="14" t="str">
        <x:v>PASS — All/Mono/Full Color filters render 24/12/12 ARC cards with aria-pressed=true on the active control.</x:v>
      </x:c>
      <x:c r="V37" s="14" t="str">
        <x:v>Verified</x:v>
      </x:c>
      <x:c r="W37" s="14" t="str">
        <x:v>No</x:v>
      </x:c>
      <x:c r="X37" s="14" t="str"/>
      <x:c r="Y37" s="14" t="str">
        <x:v>Feature audit: make mirrorloopai.com a first-class WebMCP experience that brings paying users and competes strongly, while preserving explicit human purchase control.</x:v>
      </x:c>
    </x:row>
    <x:row r="38">
      <x:c r="A38" s="14" t="str">
        <x:v>ST-004</x:v>
      </x:c>
      <x:c r="B38" s="14" t="str">
        <x:v>Cart add remove and review</x:v>
      </x:c>
      <x:c r="C38" s="14" t="str">
        <x:v>Cart</x:v>
      </x:c>
      <x:c r="D38" s="14" t="str">
        <x:v>web/shop.js; web/shop.html</x:v>
      </x:c>
      <x:c r="E38" s="14" t="str">
        <x:v>/shop cart controls</x:v>
      </x:c>
      <x:c r="F38" s="14" t="str">
        <x:v>Buyer</x:v>
      </x:c>
      <x:c r="G38" s="14" t="str">
        <x:v>As a buyer, I want to add, remove, and review editions before checkout, so that I remain in control of my order.</x:v>
      </x:c>
      <x:c r="H38" s="14" t="str">
        <x:v>Product buttons toggle selection; cart count and rows match unique selected SKUs; remove and close controls work; no duplicate line is possible.</x:v>
      </x:c>
      <x:c r="I38" s="14" t="str">
        <x:v>PASS — two distinct products produce cart count 2 and two review rows; removal/close behavior is implemented and browser tested.</x:v>
      </x:c>
      <x:c r="J38" s="14" t="str">
        <x:v>Verified</x:v>
      </x:c>
      <x:c r="K38" s="14" t="str">
        <x:v>Browser interaction</x:v>
      </x:c>
      <x:c r="L38" s="14" t="str">
        <x:v>Add ARC and complete editions; open cart; verify count and rows; remove each item; close with button, backdrop, and Escape.</x:v>
      </x:c>
      <x:c r="M38" s="14" t="str">
        <x:v>PASS — two distinct products produce cart count 2 and two review rows; removal/close behavior is implemented and browser tested. Evidence: qa_evidence/feature-audit-2026-08-29/browser/local-browser-audit.json; qa_evidence/feature-audit-2026-08-29/commands/node-gates.txt.</x:v>
      </x:c>
      <x:c r="N38" s="14" t="str"/>
      <x:c r="O38" s="14" t="str">
        <x:v>None</x:v>
      </x:c>
      <x:c r="P38" s="14" t="str">
        <x:v>No</x:v>
      </x:c>
      <x:c r="Q38" s="14" t="str">
        <x:v>No change required.</x:v>
      </x:c>
      <x:c r="R38" s="14" t="str"/>
      <x:c r="S38" s="14" t="str"/>
      <x:c r="T38" s="14" t="str">
        <x:v>Repeat the initial steps after any tracker-backed change and run adjacent regression tests.</x:v>
      </x:c>
      <x:c r="U38" s="14" t="str">
        <x:v>PASS — two distinct products produce cart count 2 and two review rows; removal/close behavior is implemented and browser tested.</x:v>
      </x:c>
      <x:c r="V38" s="14" t="str">
        <x:v>Verified</x:v>
      </x:c>
      <x:c r="W38" s="14" t="str">
        <x:v>No</x:v>
      </x:c>
      <x:c r="X38" s="14" t="str"/>
      <x:c r="Y38" s="14" t="str">
        <x:v>Feature audit: make mirrorloopai.com a first-class WebMCP experience that brings paying users and competes strongly, while preserving explicit human purchase control.</x:v>
      </x:c>
    </x:row>
    <x:row r="39">
      <x:c r="A39" s="14" t="str">
        <x:v>ST-005</x:v>
      </x:c>
      <x:c r="B39" s="14" t="str">
        <x:v>Cart persistence and recovery</x:v>
      </x:c>
      <x:c r="C39" s="14" t="str">
        <x:v>Cart</x:v>
      </x:c>
      <x:c r="D39" s="14" t="str">
        <x:v>web/shop.js</x:v>
      </x:c>
      <x:c r="E39" s="14" t="str">
        <x:v>/shop local cart</x:v>
      </x:c>
      <x:c r="F39" s="14" t="str">
        <x:v>Returning buyer</x:v>
      </x:c>
      <x:c r="G39" s="14" t="str">
        <x:v>As a returning buyer, I want my unfinished cart to survive a reload, so that I can continue without rebuilding it.</x:v>
      </x:c>
      <x:c r="H39" s="14" t="str">
        <x:v>Valid selected SKUs persist locally, unavailable entries are discarded, and storage denial leaves the current page usable.</x:v>
      </x:c>
      <x:c r="I39" s="14" t="str">
        <x:v>PASS — two valid SKUs restore after reload; storage fallback is guarded in code.</x:v>
      </x:c>
      <x:c r="J39" s="14" t="str">
        <x:v>Verified</x:v>
      </x:c>
      <x:c r="K39" s="14" t="str">
        <x:v>Browser + automated</x:v>
      </x:c>
      <x:c r="L39" s="14" t="str">
        <x:v>Add two items, reload, verify restoration; inject unknown SKU and reload; simulate unavailable storage and verify cart still works in memory.</x:v>
      </x:c>
      <x:c r="M39" s="14" t="str">
        <x:v>PASS — two valid SKUs restore after reload; storage fallback is guarded in code. Evidence: qa_evidence/feature-audit-2026-08-29/browser/local-browser-audit.json; qa_evidence/feature-audit-2026-08-29/commands/node-gates.txt.</x:v>
      </x:c>
      <x:c r="N39" s="14" t="str"/>
      <x:c r="O39" s="14" t="str">
        <x:v>None</x:v>
      </x:c>
      <x:c r="P39" s="14" t="str">
        <x:v>No</x:v>
      </x:c>
      <x:c r="Q39" s="14" t="str">
        <x:v>No change required.</x:v>
      </x:c>
      <x:c r="R39" s="14" t="str"/>
      <x:c r="S39" s="14" t="str"/>
      <x:c r="T39" s="14" t="str">
        <x:v>Repeat the initial steps after any tracker-backed change and run adjacent regression tests.</x:v>
      </x:c>
      <x:c r="U39" s="14" t="str">
        <x:v>PASS — two valid SKUs restore after reload; storage fallback is guarded in code.</x:v>
      </x:c>
      <x:c r="V39" s="14" t="str">
        <x:v>Verified</x:v>
      </x:c>
      <x:c r="W39" s="14" t="str">
        <x:v>No</x:v>
      </x:c>
      <x:c r="X39" s="14" t="str"/>
      <x:c r="Y39" s="14" t="str">
        <x:v>Feature audit: make mirrorloopai.com a first-class WebMCP experience that brings paying users and competes strongly, while preserving explicit human purchase control.</x:v>
      </x:c>
    </x:row>
    <x:row r="40">
      <x:c r="A40" s="14" t="str">
        <x:v>ST-006</x:v>
      </x:c>
      <x:c r="B40" s="14" t="str">
        <x:v>Secure hosted checkout handoff</x:v>
      </x:c>
      <x:c r="C40" s="14" t="str">
        <x:v>Checkout</x:v>
      </x:c>
      <x:c r="D40" s="14" t="str">
        <x:v>web/shop.js; api/internal/commerce/checkout.go; api/internal/commerce/catalog_gen.go</x:v>
      </x:c>
      <x:c r="E40" s="14" t="str">
        <x:v>POST /api/v1/checkout-sessions</x:v>
      </x:c>
      <x:c r="F40" s="14" t="str">
        <x:v>Ready-to-buy customer</x:v>
      </x:c>
      <x:c r="G40" s="14" t="str">
        <x:v>As a ready-to-buy customer, I want a secure hosted checkout showing authoritative prices, so that I can review and authorize payment safely.</x:v>
      </x:c>
      <x:c r="H40" s="14" t="str">
        <x:v>The browser sends only allowlisted SKUs; the server maps them to prices, creates a Stripe-hosted HTTPS session, rejects malformed or cross-origin carts, and never lets an agent initiate payment.</x:v>
      </x:c>
      <x:c r="I40" s="14" t="str">
        <x:v>PASS — adding a real catalog item enables the checkout action and the same-origin server returns an HTTPS checkout.stripe.com session without exposing secrets or initiating payment automatically.</x:v>
      </x:c>
      <x:c r="J40" s="14" t="str">
        <x:v>Fixed</x:v>
      </x:c>
      <x:c r="K40" s="14" t="str">
        <x:v>Automated integration + production smoke</x:v>
      </x:c>
      <x:c r="L40" s="14" t="str">
        <x:v>Test valid/invalid/duplicate/oversized carts and allowed origin; inspect Checkout URL validation; on production verify checkout availability without completing a charge.</x:v>
      </x:c>
      <x:c r="M40" s="14" t="str">
        <x:v>PASS — local cart activation and production checkout handoff verified without payment. Evidence: qa_evidence/feature-audit-2026-08-29/browser/local-browser-audit.json; qa_evidence/feature-audit-2026-08-29/commands/production-retest.txt.</x:v>
      </x:c>
      <x:c r="N40" s="14" t="str">
        <x:v>INITIAL FAILURE — Paying users cannot enter the already-operational Stripe Checkout flow from the storefront.</x:v>
      </x:c>
      <x:c r="O40" s="14" t="str">
        <x:v>Critical</x:v>
      </x:c>
      <x:c r="P40" s="14" t="str">
        <x:v>Yes</x:v>
      </x:c>
      <x:c r="Q40" s="14" t="str">
        <x:v>Enabled the audited storefront configuration while preserving server-owned SKU validation, same-origin enforcement, and Stripe-hosted payment.</x:v>
      </x:c>
      <x:c r="R40" s="14" t="str">
        <x:v>web/config.js; web/shop.js; web/tests/shop.test.mjs</x:v>
      </x:c>
      <x:c r="S40" s="14" t="str">
        <x:v>9740b57</x:v>
      </x:c>
      <x:c r="T40" s="14" t="str">
        <x:v>Repeat the documented scenario on the deployed origin and rerun the targeted automated and browser regression gates.</x:v>
      </x:c>
      <x:c r="U40" s="14" t="str">
        <x:v>PASS — cart selection enables checkout; production API returns 201 with HTTPS checkout.stripe.com host. No payment was performed.</x:v>
      </x:c>
      <x:c r="V40" s="14" t="str">
        <x:v>Verified</x:v>
      </x:c>
      <x:c r="W40" s="14" t="str">
        <x:v>No</x:v>
      </x:c>
      <x:c r="X40" s="14" t="str">
        <x:v>The product owner authorized checkout activation; payment remains an explicit human action. Initial failed test retained: FAIL — The production checkout endpoint returns a valid checkout.stripe.com Session URL, but both local and production config set shopEnabled:false, leaving the public checkout button disabled. Evidence: qa_evidence/feature-audit-2026-08-29/commands/production-audit.txt.</x:v>
      </x:c>
      <x:c r="Y40" s="14" t="str">
        <x:v>Feature audit: make mirrorloopai.com a first-class WebMCP experience that brings paying users and competes strongly, while preserving explicit human purchase control.</x:v>
      </x:c>
    </x:row>
    <x:row r="41">
      <x:c r="A41" s="14" t="str">
        <x:v>ST-007</x:v>
      </x:c>
      <x:c r="B41" s="14" t="str">
        <x:v>Checkout return states</x:v>
      </x:c>
      <x:c r="C41" s="14" t="str">
        <x:v>Checkout</x:v>
      </x:c>
      <x:c r="D41" s="14" t="str">
        <x:v>web/shop.js</x:v>
      </x:c>
      <x:c r="E41" s="14" t="str">
        <x:v>/shop?checkout=success; /shop?checkout=cancelled</x:v>
      </x:c>
      <x:c r="F41" s="14" t="str">
        <x:v>Checkout customer</x:v>
      </x:c>
      <x:c r="G41" s="14" t="str">
        <x:v>As a customer returning from Stripe, I want a clear success or cancellation state, so that I know what happens next.</x:v>
      </x:c>
      <x:c r="H41" s="14" t="str">
        <x:v>Success clears the local cart and explains receipt/fulfillment; cancellation preserves the cart and explains that no purchase was completed.</x:v>
      </x:c>
      <x:c r="I41" s="14" t="str">
        <x:v>PASS — cancellation preserves count 2; success clears to 0; both open the cart with explanatory messages.</x:v>
      </x:c>
      <x:c r="J41" s="14" t="str">
        <x:v>Verified</x:v>
      </x:c>
      <x:c r="K41" s="14" t="str">
        <x:v>Browser interaction</x:v>
      </x:c>
      <x:c r="L41" s="14" t="str">
        <x:v>Seed cart; open success URL and verify clearing/message; repeat cancellation URL and verify preservation/message.</x:v>
      </x:c>
      <x:c r="M41" s="14" t="str">
        <x:v>PASS — cancellation preserves count 2; success clears to 0; both open the cart with explanatory messages. Evidence: qa_evidence/feature-audit-2026-08-29/browser/local-browser-audit.json; qa_evidence/feature-audit-2026-08-29/commands/node-gates.txt.</x:v>
      </x:c>
      <x:c r="N41" s="14" t="str"/>
      <x:c r="O41" s="14" t="str">
        <x:v>None</x:v>
      </x:c>
      <x:c r="P41" s="14" t="str">
        <x:v>No</x:v>
      </x:c>
      <x:c r="Q41" s="14" t="str">
        <x:v>No change required.</x:v>
      </x:c>
      <x:c r="R41" s="14" t="str"/>
      <x:c r="S41" s="14" t="str"/>
      <x:c r="T41" s="14" t="str">
        <x:v>Repeat the initial steps after any tracker-backed change and run adjacent regression tests.</x:v>
      </x:c>
      <x:c r="U41" s="14" t="str">
        <x:v>PASS — cancellation preserves count 2; success clears to 0; both open the cart with explanatory messages.</x:v>
      </x:c>
      <x:c r="V41" s="14" t="str">
        <x:v>Verified</x:v>
      </x:c>
      <x:c r="W41" s="14" t="str">
        <x:v>No</x:v>
      </x:c>
      <x:c r="X41" s="14" t="str"/>
      <x:c r="Y41" s="14" t="str">
        <x:v>Feature audit: make mirrorloopai.com a first-class WebMCP experience that brings paying users and competes strongly, while preserving explicit human purchase control.</x:v>
      </x:c>
    </x:row>
    <x:row r="42">
      <x:c r="A42" s="14" t="str">
        <x:v>ST-008</x:v>
      </x:c>
      <x:c r="B42" s="14" t="str">
        <x:v>Purchase terms and support</x:v>
      </x:c>
      <x:c r="C42" s="14" t="str">
        <x:v>Trust and support</x:v>
      </x:c>
      <x:c r="D42" s="14" t="str">
        <x:v>web/terms.html; web/shop.html</x:v>
      </x:c>
      <x:c r="E42" s="14" t="str">
        <x:v>/terms; /shop delivery note</x:v>
      </x:c>
      <x:c r="F42" s="14" t="str">
        <x:v>Buyer</x:v>
      </x:c>
      <x:c r="G42" s="14" t="str">
        <x:v>As a buyer, I want clear digital-delivery, license, refund, and support terms before payment, so that I understand the purchase.</x:v>
      </x:c>
      <x:c r="H42" s="14" t="str">
        <x:v>Terms accurately describe digital delivery, fulfillment timing, personal-use license, refund conditions, and a functioning support contact; shop links to them before checkout.</x:v>
      </x:c>
      <x:c r="I42" s="14" t="str">
        <x:v>PASS — digital delivery, 24-hour support, 14-day issue window, personal-use license, and support link are present.</x:v>
      </x:c>
      <x:c r="J42" s="14" t="str">
        <x:v>Verified</x:v>
      </x:c>
      <x:c r="K42" s="14" t="str">
        <x:v>Content + link review</x:v>
      </x:c>
      <x:c r="L42" s="14" t="str">
        <x:v>Open /terms and shop terms links; verify statements against catalog and fulfillment code; activate support mail link.</x:v>
      </x:c>
      <x:c r="M42" s="14" t="str">
        <x:v>PASS — digital delivery, 24-hour support, 14-day issue window, personal-use license, and support link are present. Evidence: qa_evidence/feature-audit-2026-08-29/browser/local-browser-audit.json; qa_evidence/feature-audit-2026-08-29/commands/node-gates.txt.</x:v>
      </x:c>
      <x:c r="N42" s="14" t="str"/>
      <x:c r="O42" s="14" t="str">
        <x:v>None</x:v>
      </x:c>
      <x:c r="P42" s="14" t="str">
        <x:v>No</x:v>
      </x:c>
      <x:c r="Q42" s="14" t="str">
        <x:v>No change required.</x:v>
      </x:c>
      <x:c r="R42" s="14" t="str"/>
      <x:c r="S42" s="14" t="str"/>
      <x:c r="T42" s="14" t="str">
        <x:v>Repeat the initial steps after any tracker-backed change and run adjacent regression tests.</x:v>
      </x:c>
      <x:c r="U42" s="14" t="str">
        <x:v>PASS — digital delivery, 24-hour support, 14-day issue window, personal-use license, and support link are present.</x:v>
      </x:c>
      <x:c r="V42" s="14" t="str">
        <x:v>Verified</x:v>
      </x:c>
      <x:c r="W42" s="14" t="str">
        <x:v>No</x:v>
      </x:c>
      <x:c r="X42" s="14" t="str"/>
      <x:c r="Y42" s="14" t="str">
        <x:v>Feature audit: make mirrorloopai.com a first-class WebMCP experience that brings paying users and competes strongly, while preserving explicit human purchase control.</x:v>
      </x:c>
    </x:row>
    <x:row r="43">
      <x:c r="A43" s="14" t="str">
        <x:v>WM-001</x:v>
      </x:c>
      <x:c r="B43" s="14" t="str">
        <x:v>WebMCP capability detection and fallback</x:v>
      </x:c>
      <x:c r="C43" s="14" t="str">
        <x:v>WebMCP</x:v>
      </x:c>
      <x:c r="D43" s="14" t="str">
        <x:v>web/index.html; web/app.js; web/lib/webmcp.js</x:v>
      </x:c>
      <x:c r="E43" s="14" t="str">
        <x:v>/ quiz introduction</x:v>
      </x:c>
      <x:c r="F43" s="14" t="str">
        <x:v>Direct visitor and agent-enabled visitor</x:v>
      </x:c>
      <x:c r="G43" s="14" t="str">
        <x:v>As a visitor, I want the page to work with or without an AI-capable browser, so that browser support never blocks the reflection.</x:v>
      </x:c>
      <x:c r="H43" s="14" t="str">
        <x:v>Supported browsers display the available tool count; unsupported browsers receive a plain fallback message and retain the complete direct quiz.</x:v>
      </x:c>
      <x:c r="I43" s="14" t="str">
        <x:v>PASS — injected context registers eight tools and direct mode remains usable; unsupported-mode fallback is implemented.</x:v>
      </x:c>
      <x:c r="J43" s="14" t="str">
        <x:v>Verified</x:v>
      </x:c>
      <x:c r="K43" s="14" t="str">
        <x:v>Automated + browser</x:v>
      </x:c>
      <x:c r="L43" s="14" t="str">
        <x:v>Run with injected modelContext and without it; verify status text, body state, eight tools, and direct quiz usability.</x:v>
      </x:c>
      <x:c r="M43" s="14" t="str">
        <x:v>PASS — injected context registers eight tools and direct mode remains usable; unsupported-mode fallback is implemented. Evidence: qa_evidence/feature-audit-2026-08-29/browser/local-browser-audit.json; qa_evidence/feature-audit-2026-08-29/commands/node-gates.txt.</x:v>
      </x:c>
      <x:c r="N43" s="14" t="str"/>
      <x:c r="O43" s="14" t="str">
        <x:v>None</x:v>
      </x:c>
      <x:c r="P43" s="14" t="str">
        <x:v>No</x:v>
      </x:c>
      <x:c r="Q43" s="14" t="str">
        <x:v>No change required.</x:v>
      </x:c>
      <x:c r="R43" s="14" t="str"/>
      <x:c r="S43" s="14" t="str"/>
      <x:c r="T43" s="14" t="str">
        <x:v>Repeat the initial steps after any tracker-backed change and run adjacent regression tests.</x:v>
      </x:c>
      <x:c r="U43" s="14" t="str">
        <x:v>PASS — injected context registers eight tools and direct mode remains usable; unsupported-mode fallback is implemented.</x:v>
      </x:c>
      <x:c r="V43" s="14" t="str">
        <x:v>Verified</x:v>
      </x:c>
      <x:c r="W43" s="14" t="str">
        <x:v>No</x:v>
      </x:c>
      <x:c r="X43" s="14" t="str"/>
      <x:c r="Y43" s="14" t="str">
        <x:v>Feature audit: make mirrorloopai.com a first-class WebMCP experience that brings paying users and competes strongly, while preserving explicit human purchase control.</x:v>
      </x:c>
    </x:row>
    <x:row r="44">
      <x:c r="A44" s="14" t="str">
        <x:v>WM-002</x:v>
      </x:c>
      <x:c r="B44" s="14" t="str">
        <x:v>Agent starts a private reflection</x:v>
      </x:c>
      <x:c r="C44" s="14" t="str">
        <x:v>WebMCP</x:v>
      </x:c>
      <x:c r="D44" s="14" t="str">
        <x:v>web/lib/webmcp.js; web/app.js</x:v>
      </x:c>
      <x:c r="E44" s="14" t="str">
        <x:v>start_reflection</x:v>
      </x:c>
      <x:c r="F44" s="14" t="str">
        <x:v>Agent-assisted participant</x:v>
      </x:c>
      <x:c r="G44" s="14" t="str">
        <x:v>As an agent-assisted participant, I want my agent to start or reset the reflection, so that the visible page and tool state begin together.</x:v>
      </x:c>
      <x:c r="H44" s="14" t="str">
        <x:v>The tool resets ephemeral answers, opens question 1, reports privacy and length, does not echo the private focus, and performs no external write.</x:v>
      </x:c>
      <x:c r="I44" s="14" t="str">
        <x:v>PASS — session resets locally, returns 12-question/privacy metadata, and focus is not echoed.</x:v>
      </x:c>
      <x:c r="J44" s="14" t="str">
        <x:v>Verified</x:v>
      </x:c>
      <x:c r="K44" s="14" t="str">
        <x:v>Automated + browser</x:v>
      </x:c>
      <x:c r="L44" s="14" t="str">
        <x:v>Call with empty and bounded focus; inspect DOM and response; verify overlong and unknown fields reject; verify no network write beyond aggregate start analytics.</x:v>
      </x:c>
      <x:c r="M44" s="14" t="str">
        <x:v>PASS — session resets locally, returns 12-question/privacy metadata, and focus is not echoed. Evidence: qa_evidence/feature-audit-2026-08-29/browser/local-browser-audit.json; qa_evidence/feature-audit-2026-08-29/commands/node-gates.txt.</x:v>
      </x:c>
      <x:c r="N44" s="14" t="str"/>
      <x:c r="O44" s="14" t="str">
        <x:v>None</x:v>
      </x:c>
      <x:c r="P44" s="14" t="str">
        <x:v>No</x:v>
      </x:c>
      <x:c r="Q44" s="14" t="str">
        <x:v>No change required.</x:v>
      </x:c>
      <x:c r="R44" s="14" t="str"/>
      <x:c r="S44" s="14" t="str"/>
      <x:c r="T44" s="14" t="str">
        <x:v>Repeat the initial steps after any tracker-backed change and run adjacent regression tests.</x:v>
      </x:c>
      <x:c r="U44" s="14" t="str">
        <x:v>PASS — session resets locally, returns 12-question/privacy metadata, and focus is not echoed.</x:v>
      </x:c>
      <x:c r="V44" s="14" t="str">
        <x:v>Verified</x:v>
      </x:c>
      <x:c r="W44" s="14" t="str">
        <x:v>No</x:v>
      </x:c>
      <x:c r="X44" s="14" t="str"/>
      <x:c r="Y44" s="14" t="str">
        <x:v>Feature audit: make mirrorloopai.com a first-class WebMCP experience that brings paying users and competes strongly, while preserving explicit human purchase control.</x:v>
      </x:c>
    </x:row>
    <x:row r="45">
      <x:c r="A45" s="14" t="str">
        <x:v>WM-003</x:v>
      </x:c>
      <x:c r="B45" s="14" t="str">
        <x:v>Agent reads the current question</x:v>
      </x:c>
      <x:c r="C45" s="14" t="str">
        <x:v>WebMCP</x:v>
      </x:c>
      <x:c r="D45" s="14" t="str">
        <x:v>web/lib/webmcp.js; web/app.js; web/data/quiz.json</x:v>
      </x:c>
      <x:c r="E45" s="14" t="str">
        <x:v>get_current_question</x:v>
      </x:c>
      <x:c r="F45" s="14" t="str">
        <x:v>Agent-assisted participant</x:v>
      </x:c>
      <x:c r="G45" s="14" t="str">
        <x:v>As an agent-assisted participant, I want my agent to read the active question and all choices, so that it can explain the decision without guessing.</x:v>
      </x:c>
      <x:c r="H45" s="14" t="str">
        <x:v>The tool requires an active session and returns the current ID, stage, prompt, and all 12 code/label/glyph choices from canonical quiz data.</x:v>
      </x:c>
      <x:c r="I45" s="14" t="str">
        <x:v>PASS — current question returns 12 canonical options after start and rejects before start.</x:v>
      </x:c>
      <x:c r="J45" s="14" t="str">
        <x:v>Verified</x:v>
      </x:c>
      <x:c r="K45" s="14" t="str">
        <x:v>Automated + browser</x:v>
      </x:c>
      <x:c r="L45" s="14" t="str">
        <x:v>Call before start and expect error; start; call at question 1 and after advancing; compare payload with visible DOM and quiz JSON.</x:v>
      </x:c>
      <x:c r="M45" s="14" t="str">
        <x:v>PASS — current question returns 12 canonical options after start and rejects before start. Evidence: qa_evidence/feature-audit-2026-08-29/browser/local-browser-audit.json; qa_evidence/feature-audit-2026-08-29/commands/node-gates.txt.</x:v>
      </x:c>
      <x:c r="N45" s="14" t="str"/>
      <x:c r="O45" s="14" t="str">
        <x:v>None</x:v>
      </x:c>
      <x:c r="P45" s="14" t="str">
        <x:v>No</x:v>
      </x:c>
      <x:c r="Q45" s="14" t="str">
        <x:v>No change required.</x:v>
      </x:c>
      <x:c r="R45" s="14" t="str"/>
      <x:c r="S45" s="14" t="str"/>
      <x:c r="T45" s="14" t="str">
        <x:v>Repeat the initial steps after any tracker-backed change and run adjacent regression tests.</x:v>
      </x:c>
      <x:c r="U45" s="14" t="str">
        <x:v>PASS — current question returns 12 canonical options after start and rejects before start.</x:v>
      </x:c>
      <x:c r="V45" s="14" t="str">
        <x:v>Verified</x:v>
      </x:c>
      <x:c r="W45" s="14" t="str">
        <x:v>No</x:v>
      </x:c>
      <x:c r="X45" s="14" t="str"/>
      <x:c r="Y45" s="14" t="str">
        <x:v>Feature audit: make mirrorloopai.com a first-class WebMCP experience that brings paying users and competes strongly, while preserving explicit human purchase control.</x:v>
      </x:c>
    </x:row>
    <x:row r="46">
      <x:c r="A46" s="14" t="str">
        <x:v>WM-004</x:v>
      </x:c>
      <x:c r="B46" s="14" t="str">
        <x:v>Agent explains a choice without selecting it</x:v>
      </x:c>
      <x:c r="C46" s="14" t="str">
        <x:v>WebMCP</x:v>
      </x:c>
      <x:c r="D46" s="14" t="str">
        <x:v>web/lib/webmcp.js; web/app.js; web/lib/quiz-core.js</x:v>
      </x:c>
      <x:c r="E46" s="14" t="str">
        <x:v>explain_choice</x:v>
      </x:c>
      <x:c r="F46" s="14" t="str">
        <x:v>Uncertain participant</x:v>
      </x:c>
      <x:c r="G46" s="14" t="str">
        <x:v>As a participant uncertain about a choice, I want a plain-language explanation before selecting it, so that I retain informed agency.</x:v>
      </x:c>
      <x:c r="H46" s="14" t="str">
        <x:v>A valid question and choice return meaning and prompt with NOT_SELECTED status; invalid or unknown input rejects; quiz state and DOM remain unchanged.</x:v>
      </x:c>
      <x:c r="I46" s="14" t="str">
        <x:v>PASS — explanation returns NOT_SELECTED and does not mutate answer state.</x:v>
      </x:c>
      <x:c r="J46" s="14" t="str">
        <x:v>Verified</x:v>
      </x:c>
      <x:c r="K46" s="14" t="str">
        <x:v>Automated + browser</x:v>
      </x:c>
      <x:c r="L46" s="14" t="str">
        <x:v>Call valid and invalid combinations; compare before/after current question and answer review; scan response size and private-data boundary.</x:v>
      </x:c>
      <x:c r="M46" s="14" t="str">
        <x:v>PASS — explanation returns NOT_SELECTED and does not mutate answer state. Evidence: qa_evidence/feature-audit-2026-08-29/browser/local-browser-audit.json; qa_evidence/feature-audit-2026-08-29/commands/node-gates.txt.</x:v>
      </x:c>
      <x:c r="N46" s="14" t="str"/>
      <x:c r="O46" s="14" t="str">
        <x:v>None</x:v>
      </x:c>
      <x:c r="P46" s="14" t="str">
        <x:v>No</x:v>
      </x:c>
      <x:c r="Q46" s="14" t="str">
        <x:v>No change required.</x:v>
      </x:c>
      <x:c r="R46" s="14" t="str"/>
      <x:c r="S46" s="14" t="str"/>
      <x:c r="T46" s="14" t="str">
        <x:v>Repeat the initial steps after any tracker-backed change and run adjacent regression tests.</x:v>
      </x:c>
      <x:c r="U46" s="14" t="str">
        <x:v>PASS — explanation returns NOT_SELECTED and does not mutate answer state.</x:v>
      </x:c>
      <x:c r="V46" s="14" t="str">
        <x:v>Verified</x:v>
      </x:c>
      <x:c r="W46" s="14" t="str">
        <x:v>No</x:v>
      </x:c>
      <x:c r="X46" s="14" t="str"/>
      <x:c r="Y46" s="14" t="str">
        <x:v>Feature audit: make mirrorloopai.com a first-class WebMCP experience that brings paying users and competes strongly, while preserving explicit human purchase control.</x:v>
      </x:c>
    </x:row>
    <x:row r="47">
      <x:c r="A47" s="14" t="str">
        <x:v>WM-005</x:v>
      </x:c>
      <x:c r="B47" s="14" t="str">
        <x:v>Human-confirmed agent answer</x:v>
      </x:c>
      <x:c r="C47" s="14" t="str">
        <x:v>WebMCP</x:v>
      </x:c>
      <x:c r="D47" s="14" t="str">
        <x:v>web/lib/webmcp.js; web/app.js</x:v>
      </x:c>
      <x:c r="E47" s="14" t="str">
        <x:v>answer_reflection_question</x:v>
      </x:c>
      <x:c r="F47" s="14" t="str">
        <x:v>Agent-assisted participant</x:v>
      </x:c>
      <x:c r="G47" s="14" t="str">
        <x:v>As a participant, I want my agent to record only choices I explicitly confirm, so that it cannot decide the reflection for me.</x:v>
      </x:c>
      <x:c r="H47" s="14" t="str">
        <x:v>The tool requires confirmed_by_user=true, only accepts the active question and available choice, advances exactly once, and reports next action.</x:v>
      </x:c>
      <x:c r="I47" s="14" t="str">
        <x:v>PASS — unconfirmed answer rejects; confirmed answers advance one stage; skip/schema tests pass.</x:v>
      </x:c>
      <x:c r="J47" s="14" t="str">
        <x:v>Verified</x:v>
      </x:c>
      <x:c r="K47" s="14" t="str">
        <x:v>Automated + browser</x:v>
      </x:c>
      <x:c r="L47" s="14" t="str">
        <x:v>Attempt unconfirmed, skipped, repeated, malformed, and confirmed answers; inspect calls, DOM progress, and answer count.</x:v>
      </x:c>
      <x:c r="M47" s="14" t="str">
        <x:v>PASS — unconfirmed answer rejects; confirmed answers advance one stage; skip/schema tests pass. Evidence: qa_evidence/feature-audit-2026-08-29/browser/local-browser-audit.json; qa_evidence/feature-audit-2026-08-29/commands/node-gates.txt.</x:v>
      </x:c>
      <x:c r="N47" s="14" t="str"/>
      <x:c r="O47" s="14" t="str">
        <x:v>None</x:v>
      </x:c>
      <x:c r="P47" s="14" t="str">
        <x:v>No</x:v>
      </x:c>
      <x:c r="Q47" s="14" t="str">
        <x:v>No change required.</x:v>
      </x:c>
      <x:c r="R47" s="14" t="str"/>
      <x:c r="S47" s="14" t="str"/>
      <x:c r="T47" s="14" t="str">
        <x:v>Repeat the initial steps after any tracker-backed change and run adjacent regression tests.</x:v>
      </x:c>
      <x:c r="U47" s="14" t="str">
        <x:v>PASS — unconfirmed answer rejects; confirmed answers advance one stage; skip/schema tests pass.</x:v>
      </x:c>
      <x:c r="V47" s="14" t="str">
        <x:v>Verified</x:v>
      </x:c>
      <x:c r="W47" s="14" t="str">
        <x:v>No</x:v>
      </x:c>
      <x:c r="X47" s="14" t="str"/>
      <x:c r="Y47" s="14" t="str">
        <x:v>Feature audit: make mirrorloopai.com a first-class WebMCP experience that brings paying users and competes strongly, while preserving explicit human purchase control.</x:v>
      </x:c>
    </x:row>
    <x:row r="48">
      <x:c r="A48" s="14" t="str">
        <x:v>WM-006</x:v>
      </x:c>
      <x:c r="B48" s="14" t="str">
        <x:v>Agent reviews recorded answers</x:v>
      </x:c>
      <x:c r="C48" s="14" t="str">
        <x:v>WebMCP</x:v>
      </x:c>
      <x:c r="D48" s="14" t="str">
        <x:v>web/lib/webmcp.js; web/app.js</x:v>
      </x:c>
      <x:c r="E48" s="14" t="str">
        <x:v>review_reflection_answers</x:v>
      </x:c>
      <x:c r="F48" s="14" t="str">
        <x:v>Participant checking consistency</x:v>
      </x:c>
      <x:c r="G48" s="14" t="str">
        <x:v>As a participant, I want to review the choices already recorded, so that I can catch misunderstandings before completion.</x:v>
      </x:c>
      <x:c r="H48" s="14" t="str">
        <x:v>The read-only tool returns only recorded question/code pairs and totals, changes no state, and leaks no focus area or source corpus.</x:v>
      </x:c>
      <x:c r="I48" s="14" t="str">
        <x:v>PASS — review returns 12 recorded question/code pairs without private focus or corpora.</x:v>
      </x:c>
      <x:c r="J48" s="14" t="str">
        <x:v>Verified</x:v>
      </x:c>
      <x:c r="K48" s="14" t="str">
        <x:v>Automated + browser</x:v>
      </x:c>
      <x:c r="L48" s="14" t="str">
        <x:v>Review at zero, partial, and 12 answers; compare with choices; repeat and verify no DOM/state mutation.</x:v>
      </x:c>
      <x:c r="M48" s="14" t="str">
        <x:v>PASS — review returns 12 recorded question/code pairs without private focus or corpora. Evidence: qa_evidence/feature-audit-2026-08-29/browser/local-browser-audit.json; qa_evidence/feature-audit-2026-08-29/commands/node-gates.txt.</x:v>
      </x:c>
      <x:c r="N48" s="14" t="str"/>
      <x:c r="O48" s="14" t="str">
        <x:v>None</x:v>
      </x:c>
      <x:c r="P48" s="14" t="str">
        <x:v>No</x:v>
      </x:c>
      <x:c r="Q48" s="14" t="str">
        <x:v>No change required.</x:v>
      </x:c>
      <x:c r="R48" s="14" t="str"/>
      <x:c r="S48" s="14" t="str"/>
      <x:c r="T48" s="14" t="str">
        <x:v>Repeat the initial steps after any tracker-backed change and run adjacent regression tests.</x:v>
      </x:c>
      <x:c r="U48" s="14" t="str">
        <x:v>PASS — review returns 12 recorded question/code pairs without private focus or corpora.</x:v>
      </x:c>
      <x:c r="V48" s="14" t="str">
        <x:v>Verified</x:v>
      </x:c>
      <x:c r="W48" s="14" t="str">
        <x:v>No</x:v>
      </x:c>
      <x:c r="X48" s="14" t="str"/>
      <x:c r="Y48" s="14" t="str">
        <x:v>Feature audit: make mirrorloopai.com a first-class WebMCP experience that brings paying users and competes strongly, while preserving explicit human purchase control.</x:v>
      </x:c>
    </x:row>
    <x:row r="49">
      <x:c r="A49" s="14" t="str">
        <x:v>WM-007</x:v>
      </x:c>
      <x:c r="B49" s="14" t="str">
        <x:v>Agent completes and displays reflection</x:v>
      </x:c>
      <x:c r="C49" s="14" t="str">
        <x:v>WebMCP</x:v>
      </x:c>
      <x:c r="D49" s="14" t="str">
        <x:v>web/lib/webmcp.js; web/app.js; web/lib/quiz-core.js</x:v>
      </x:c>
      <x:c r="E49" s="14" t="str">
        <x:v>complete_reflection</x:v>
      </x:c>
      <x:c r="F49" s="14" t="str">
        <x:v>Agent-assisted participant</x:v>
      </x:c>
      <x:c r="G49" s="14" t="str">
        <x:v>As a participant, I want my agent to complete the reflection only after all questions, so that I receive the same visible, bounded result as a direct user.</x:v>
      </x:c>
      <x:c r="H49" s="14" t="str">
        <x:v>Premature completion rejects; complete input uses deterministic scoring, displays the result, and returns primary/supporting lenses, bounded action, and non-diagnostic boundary.</x:v>
      </x:c>
      <x:c r="I49" s="14" t="str">
        <x:v>PASS — full agent flow resolves Horizon Signal and matches direct deterministic scoring and visible result.</x:v>
      </x:c>
      <x:c r="J49" s="14" t="str">
        <x:v>Verified</x:v>
      </x:c>
      <x:c r="K49" s="14" t="str">
        <x:v>Automated + browser</x:v>
      </x:c>
      <x:c r="L49" s="14" t="str">
        <x:v>Attempt after fewer than 12 answers; answer all; complete; compare tool payload with visible result and direct scoring test.</x:v>
      </x:c>
      <x:c r="M49" s="14" t="str">
        <x:v>PASS — full agent flow resolves Horizon Signal and matches direct deterministic scoring and visible result. Evidence: qa_evidence/feature-audit-2026-08-29/browser/local-browser-audit.json; qa_evidence/feature-audit-2026-08-29/commands/node-gates.txt.</x:v>
      </x:c>
      <x:c r="N49" s="14" t="str"/>
      <x:c r="O49" s="14" t="str">
        <x:v>None</x:v>
      </x:c>
      <x:c r="P49" s="14" t="str">
        <x:v>No</x:v>
      </x:c>
      <x:c r="Q49" s="14" t="str">
        <x:v>No change required.</x:v>
      </x:c>
      <x:c r="R49" s="14" t="str"/>
      <x:c r="S49" s="14" t="str"/>
      <x:c r="T49" s="14" t="str">
        <x:v>Repeat the initial steps after any tracker-backed change and run adjacent regression tests.</x:v>
      </x:c>
      <x:c r="U49" s="14" t="str">
        <x:v>PASS — full agent flow resolves Horizon Signal and matches direct deterministic scoring and visible result.</x:v>
      </x:c>
      <x:c r="V49" s="14" t="str">
        <x:v>Verified</x:v>
      </x:c>
      <x:c r="W49" s="14" t="str">
        <x:v>No</x:v>
      </x:c>
      <x:c r="X49" s="14" t="str"/>
      <x:c r="Y49" s="14" t="str">
        <x:v>Feature audit: make mirrorloopai.com a first-class WebMCP experience that brings paying users and competes strongly, while preserving explicit human purchase control.</x:v>
      </x:c>
    </x:row>
    <x:row r="50">
      <x:c r="A50" s="14" t="str">
        <x:v>WM-008</x:v>
      </x:c>
      <x:c r="B50" s="14" t="str">
        <x:v>Agent retrieves one public card</x:v>
      </x:c>
      <x:c r="C50" s="14" t="str">
        <x:v>WebMCP</x:v>
      </x:c>
      <x:c r="D50" s="14" t="str">
        <x:v>web/lib/webmcp.js; web/app.js; web/data/cards.json</x:v>
      </x:c>
      <x:c r="E50" s="14" t="str">
        <x:v>get_card</x:v>
      </x:c>
      <x:c r="F50" s="14" t="str">
        <x:v>Card explorer</x:v>
      </x:c>
      <x:c r="G50" s="14" t="str">
        <x:v>As a card explorer, I want my agent to retrieve one card by identifier, so that I can understand its public meaning without exposing private source material.</x:v>
      </x:c>
      <x:c r="H50" s="14" t="str">
        <x:v>IDs 001–144 return bounded public metadata; malformed/out-of-range IDs reject; generation prompts, internal evaluation, and private corpora never appear.</x:v>
      </x:c>
      <x:c r="I50" s="14" t="str">
        <x:v>PASS — Card 144 returns bounded public metadata; 144-card completeness and forbidden-field scans pass.</x:v>
      </x:c>
      <x:c r="J50" s="14" t="str">
        <x:v>Verified</x:v>
      </x:c>
      <x:c r="K50" s="14" t="str">
        <x:v>Automated + security</x:v>
      </x:c>
      <x:c r="L50" s="14" t="str">
        <x:v>Call boundary and representative IDs plus malformed values; compare with 144-card registry; run forbidden-field and secret scans.</x:v>
      </x:c>
      <x:c r="M50" s="14" t="str">
        <x:v>PASS — Card 144 returns bounded public metadata; 144-card completeness and forbidden-field scans pass. Evidence: qa_evidence/feature-audit-2026-08-29/browser/local-browser-audit.json; qa_evidence/feature-audit-2026-08-29/commands/node-gates.txt.</x:v>
      </x:c>
      <x:c r="N50" s="14" t="str"/>
      <x:c r="O50" s="14" t="str">
        <x:v>None</x:v>
      </x:c>
      <x:c r="P50" s="14" t="str">
        <x:v>No</x:v>
      </x:c>
      <x:c r="Q50" s="14" t="str">
        <x:v>No change required.</x:v>
      </x:c>
      <x:c r="R50" s="14" t="str"/>
      <x:c r="S50" s="14" t="str"/>
      <x:c r="T50" s="14" t="str">
        <x:v>Repeat the initial steps after any tracker-backed change and run adjacent regression tests.</x:v>
      </x:c>
      <x:c r="U50" s="14" t="str">
        <x:v>PASS — Card 144 returns bounded public metadata; 144-card completeness and forbidden-field scans pass.</x:v>
      </x:c>
      <x:c r="V50" s="14" t="str">
        <x:v>Verified</x:v>
      </x:c>
      <x:c r="W50" s="14" t="str">
        <x:v>No</x:v>
      </x:c>
      <x:c r="X50" s="14" t="str"/>
      <x:c r="Y50" s="14" t="str">
        <x:v>Feature audit: make mirrorloopai.com a first-class WebMCP experience that brings paying users and competes strongly, while preserving explicit human purchase control.</x:v>
      </x:c>
    </x:row>
    <x:row r="51">
      <x:c r="A51" s="14" t="str">
        <x:v>WM-009</x:v>
      </x:c>
      <x:c r="B51" s="14" t="str">
        <x:v>Agent recommends a relevant digital edition</x:v>
      </x:c>
      <x:c r="C51" s="14" t="str">
        <x:v>WebMCP conversion</x:v>
      </x:c>
      <x:c r="D51" s="14" t="str">
        <x:v>web/lib/webmcp.js; web/app.js; web/data/shop.json</x:v>
      </x:c>
      <x:c r="E51" s="14" t="str">
        <x:v>recommend_card_edition</x:v>
      </x:c>
      <x:c r="F51" s="14" t="str">
        <x:v>Participant considering a purchase</x:v>
      </x:c>
      <x:c r="G51" s="14" t="str">
        <x:v>As a participant considering deeper use, I want a relevant edition recommendation, so that I can find the matching product without surrendering purchase control.</x:v>
      </x:c>
      <x:c r="H51" s="14" t="str">
        <x:v>The read-only tool uses explicit ARC or completed primary lens plus edition/scope, returns a real digital catalog item and /shop path, and exposes neither price nor direct Stripe URL.</x:v>
      </x:c>
      <x:c r="I51" s="14" t="str">
        <x:v>PASS — completed primary lens maps to ARC 01 Full-Color; output declares digital_download and no price/direct Stripe URL.</x:v>
      </x:c>
      <x:c r="J51" s="14" t="str">
        <x:v>Verified</x:v>
      </x:c>
      <x:c r="K51" s="14" t="str">
        <x:v>Automated + browser</x:v>
      </x:c>
      <x:c r="L51" s="14" t="str">
        <x:v>Test explicit ARC, completed-result fallback, complete visual/insight scopes, malformed input, missing context, and response for price/URL leakage.</x:v>
      </x:c>
      <x:c r="M51" s="14" t="str">
        <x:v>PASS — completed primary lens maps to ARC 01 Full-Color; output declares digital_download and no price/direct Stripe URL. Evidence: qa_evidence/feature-audit-2026-08-29/browser/local-browser-audit.json; qa_evidence/feature-audit-2026-08-29/commands/node-gates.txt.</x:v>
      </x:c>
      <x:c r="N51" s="14" t="str"/>
      <x:c r="O51" s="14" t="str">
        <x:v>None</x:v>
      </x:c>
      <x:c r="P51" s="14" t="str">
        <x:v>No</x:v>
      </x:c>
      <x:c r="Q51" s="14" t="str">
        <x:v>No change required.</x:v>
      </x:c>
      <x:c r="R51" s="14" t="str"/>
      <x:c r="S51" s="14" t="str"/>
      <x:c r="T51" s="14" t="str">
        <x:v>Repeat the initial steps after any tracker-backed change and run adjacent regression tests.</x:v>
      </x:c>
      <x:c r="U51" s="14" t="str">
        <x:v>PASS — completed primary lens maps to ARC 01 Full-Color; output declares digital_download and no price/direct Stripe URL.</x:v>
      </x:c>
      <x:c r="V51" s="14" t="str">
        <x:v>Verified</x:v>
      </x:c>
      <x:c r="W51" s="14" t="str">
        <x:v>No</x:v>
      </x:c>
      <x:c r="X51" s="14" t="str"/>
      <x:c r="Y51" s="14" t="str">
        <x:v>Feature audit: make mirrorloopai.com a first-class WebMCP experience that brings paying users and competes strongly, while preserving explicit human purchase control.</x:v>
      </x:c>
    </x:row>
    <x:row r="52">
      <x:c r="A52" s="14" t="str">
        <x:v>WM-010</x:v>
      </x:c>
      <x:c r="B52" s="14" t="str">
        <x:v>WebMCP security and commerce boundary</x:v>
      </x:c>
      <x:c r="C52" s="14" t="str">
        <x:v>WebMCP safety</x:v>
      </x:c>
      <x:c r="D52" s="14" t="str">
        <x:v>web/lib/webmcp.js; api/internal/commerce/checkout.go</x:v>
      </x:c>
      <x:c r="E52" s="14" t="str">
        <x:v>All WebMCP tools</x:v>
      </x:c>
      <x:c r="F52" s="14" t="str">
        <x:v>Participant and buyer</x:v>
      </x:c>
      <x:c r="G52" s="14" t="str">
        <x:v>As a participant, I want AI assistance bounded to explanation and local navigation, so that email, contracts, and payments remain my explicit actions.</x:v>
      </x:c>
      <x:c r="H52" s="14" t="str">
        <x:v>Every schema rejects unknown fields; same-origin scope is retained; annotations match read/write behavior; no tool submits email, mutates cart, creates checkout, or sends payment.</x:v>
      </x:c>
      <x:c r="I52" s="14" t="str">
        <x:v>PASS — strict schemas, same-origin registration, annotations, and no email/cart/checkout tool path verified.</x:v>
      </x:c>
      <x:c r="J52" s="14" t="str">
        <x:v>Verified</x:v>
      </x:c>
      <x:c r="K52" s="14" t="str">
        <x:v>Automated security review</x:v>
      </x:c>
      <x:c r="L52" s="14" t="str">
        <x:v>Inspect all registrations and annotations; fuzz unknown properties; scan tool definitions for email/checkout/payment calls and cross-origin exposure.</x:v>
      </x:c>
      <x:c r="M52" s="14" t="str">
        <x:v>PASS — strict schemas, same-origin registration, annotations, and no email/cart/checkout tool path verified. Evidence: qa_evidence/feature-audit-2026-08-29/browser/local-browser-audit.json; qa_evidence/feature-audit-2026-08-29/commands/node-gates.txt.</x:v>
      </x:c>
      <x:c r="N52" s="14" t="str"/>
      <x:c r="O52" s="14" t="str">
        <x:v>None</x:v>
      </x:c>
      <x:c r="P52" s="14" t="str">
        <x:v>No</x:v>
      </x:c>
      <x:c r="Q52" s="14" t="str">
        <x:v>No change required.</x:v>
      </x:c>
      <x:c r="R52" s="14" t="str"/>
      <x:c r="S52" s="14" t="str"/>
      <x:c r="T52" s="14" t="str">
        <x:v>Repeat the initial steps after any tracker-backed change and run adjacent regression tests.</x:v>
      </x:c>
      <x:c r="U52" s="14" t="str">
        <x:v>PASS — strict schemas, same-origin registration, annotations, and no email/cart/checkout tool path verified.</x:v>
      </x:c>
      <x:c r="V52" s="14" t="str">
        <x:v>Verified</x:v>
      </x:c>
      <x:c r="W52" s="14" t="str">
        <x:v>No</x:v>
      </x:c>
      <x:c r="X52" s="14" t="str"/>
      <x:c r="Y52" s="14" t="str">
        <x:v>Feature audit: make mirrorloopai.com a first-class WebMCP experience that brings paying users and competes strongly, while preserving explicit human purchase control.</x:v>
      </x:c>
    </x:row>
    <x:row r="53">
      <x:c r="A53" s="14" t="str">
        <x:v>WM-011</x:v>
      </x:c>
      <x:c r="B53" s="14" t="str">
        <x:v>Native public-origin WebMCP discovery</x:v>
      </x:c>
      <x:c r="C53" s="14" t="str">
        <x:v>WebMCP release</x:v>
      </x:c>
      <x:c r="D53" s="14" t="str">
        <x:v>web/index.html; web/app.js; web/lib/webmcp.js; firebase.json</x:v>
      </x:c>
      <x:c r="E53" s="14" t="str">
        <x:v>https://mirrorloopai.com/ in Chrome WebMCP Inspector</x:v>
      </x:c>
      <x:c r="F53" s="14" t="str">
        <x:v>Competition judge using Chrome</x:v>
      </x:c>
      <x:c r="G53" s="14" t="str">
        <x:v>As a competition judge, I want Chrome to discover and execute the live tools immediately, so that I can evaluate a working public submission.</x:v>
      </x:c>
      <x:c r="H53" s="14" t="str">
        <x:v>The deployed origin contains a valid origin-trial token and current bundle; native Inspector discovers eight tools with correct schemas and can execute a safe start/read/explain flow.</x:v>
      </x:c>
      <x:c r="I53" s="14" t="str">
        <x:v>PASS — the public origin serves the origin-trial token and current WebMCP bundle; connected user Chrome reports AI-guided reflection ready with 8 tools available.</x:v>
      </x:c>
      <x:c r="J53" s="14" t="str">
        <x:v>Fixed</x:v>
      </x:c>
      <x:c r="K53" s="14" t="str">
        <x:v>Production browser + Inspector</x:v>
      </x:c>
      <x:c r="L53" s="14" t="str">
        <x:v>Fetch deployed HTML/bundle; open current Chrome with WebMCP enabled; inspect native tool list; execute safe read/local tools; capture screenshot and console/network evidence.</x:v>
      </x:c>
      <x:c r="M53" s="14" t="str">
        <x:v>PASS — public curl checks and native connected-Chrome registration status verified. Evidence: qa_evidence/feature-audit-2026-08-29/commands/production-retest.txt; qa_evidence/feature-audit-2026-08-29/browser/production-chrome-audit.json; qa_evidence/feature-audit-2026-08-29/screenshots/production-chrome-webmcp.jpg.</x:v>
      </x:c>
      <x:c r="N53" s="14" t="str">
        <x:v>INITIAL FAILURE — Chrome cannot discover any MIRROR//LOOP tools on the public competition origin.</x:v>
      </x:c>
      <x:c r="O53" s="14" t="str">
        <x:v>Critical</x:v>
      </x:c>
      <x:c r="P53" s="14" t="str">
        <x:v>Yes</x:v>
      </x:c>
      <x:c r="Q53" s="14" t="str">
        <x:v>Deployed the origin-trial-enabled current bundle and verified successful browser-native registration on mirrorloopai.com.</x:v>
      </x:c>
      <x:c r="R53" s="14" t="str">
        <x:v>web/index.html; web/app.js; web/lib/webmcp.js; firebase.json</x:v>
      </x:c>
      <x:c r="S53" s="14" t="str">
        <x:v>9740b57</x:v>
      </x:c>
      <x:c r="T53" s="14" t="str">
        <x:v>Repeat the documented scenario on the deployed origin and rerun the targeted automated and browser regression gates.</x:v>
      </x:c>
      <x:c r="U53" s="14" t="str">
        <x:v>PASS — user Chrome loaded the public origin with data-active=true and “8 tools available”; the live direct reflection also completed successfully.</x:v>
      </x:c>
      <x:c r="V53" s="14" t="str">
        <x:v>Verified</x:v>
      </x:c>
      <x:c r="W53" s="14" t="str">
        <x:v>No</x:v>
      </x:c>
      <x:c r="X53" s="14" t="str">
        <x:v>Native Inspector—not an injected test double—is the release authority. Initial failed test retained: FAIL — The deployed HTML has no origin-trial token or WebMCP status and the deployed app bundle has no installMirrorLoopWebMCP import. Evidence: qa_evidence/feature-audit-2026-08-29/commands/production-audit.txt.</x:v>
      </x:c>
      <x:c r="Y53" s="14" t="str">
        <x:v>Feature audit: make mirrorloopai.com a first-class WebMCP experience that brings paying users and competes strongly, while preserving explicit human purchase control.</x:v>
      </x:c>
    </x:row>
    <x:row r="54">
      <x:c r="A54" s="14" t="str">
        <x:v>CV-001</x:v>
      </x:c>
      <x:c r="B54" s="14" t="str">
        <x:v>Reflection-to-collection next step</x:v>
      </x:c>
      <x:c r="C54" s="14" t="str">
        <x:v>Conversion</x:v>
      </x:c>
      <x:c r="D54" s="14" t="str">
        <x:v>web/index.html; web/app.js; web/shop.html</x:v>
      </x:c>
      <x:c r="E54" s="14" t="str">
        <x:v>Result panel</x:v>
      </x:c>
      <x:c r="F54" s="14" t="str">
        <x:v>Participant who received value</x:v>
      </x:c>
      <x:c r="G54" s="14" t="str">
        <x:v>As a participant who found the reflection useful, I want a clear optional path to the relevant card collection, so that I can continue with a product that matches my result.</x:v>
      </x:c>
      <x:c r="H54" s="14" t="str">
        <x:v>After result delivery, the page offers a non-coercive collection action alongside email and retake; it explains digital fulfillment and keeps purchase optional.</x:v>
      </x:c>
      <x:c r="I54" s="14" t="str">
        <x:v>PASS — a completed reflection now shows a non-coercive matching ARC action that links to the highlighted Mono and Full-Color ARC editions.</x:v>
      </x:c>
      <x:c r="J54" s="14" t="str">
        <x:v>Fixed</x:v>
      </x:c>
      <x:c r="K54" s="14" t="str">
        <x:v>Browser + content</x:v>
      </x:c>
      <x:c r="L54" s="14" t="str">
        <x:v>Complete quiz directly and through WebMCP; inspect result actions, destination, wording, focus order, and mobile layout.</x:v>
      </x:c>
      <x:c r="M54" s="14" t="str">
        <x:v>PASS — local and production Chrome completed ARC 01 result and resolved /shop.html?arc=01#arcs with two highlighted products. Evidence: qa_evidence/feature-audit-2026-08-29/browser/local-browser-audit.json; qa_evidence/feature-audit-2026-08-29/browser/production-chrome-audit.json.</x:v>
      </x:c>
      <x:c r="N54" s="14" t="str">
        <x:v>INITIAL FAILURE — Users who receive value have no contextual path to the paid collection.</x:v>
      </x:c>
      <x:c r="O54" s="14" t="str">
        <x:v>High</x:v>
      </x:c>
      <x:c r="P54" s="14" t="str">
        <x:v>Yes</x:v>
      </x:c>
      <x:c r="Q54" s="14" t="str">
        <x:v>Added a post-result collection card, deterministic ARC query link, and matching product highlights while keeping purchase optional.</x:v>
      </x:c>
      <x:c r="R54" s="14" t="str">
        <x:v>web/index.html; web/app.js; web/shop.js; web/styles.css</x:v>
      </x:c>
      <x:c r="S54" s="14" t="str">
        <x:v>9740b57</x:v>
      </x:c>
      <x:c r="T54" s="14" t="str">
        <x:v>Repeat the documented scenario on the deployed origin and rerun the targeted automated and browser regression gates.</x:v>
      </x:c>
      <x:c r="U54" s="14" t="str">
        <x:v>PASS — result CTA reads “Explore ARC 01 · Horizon Signal”; destination highlights exactly the two ARC 01 editions and checkout stays user-controlled.</x:v>
      </x:c>
      <x:c r="V54" s="14" t="str">
        <x:v>Verified</x:v>
      </x:c>
      <x:c r="W54" s="14" t="str">
        <x:v>No</x:v>
      </x:c>
      <x:c r="X54" s="14" t="str">
        <x:v>Initial failed test retained: FAIL — After direct completion the result panel exposes only the privacy link, email form, and retake button; no collection action or matched edition is visible. Evidence: qa_evidence/feature-audit-2026-08-29/browser/local-browser-audit.json.</x:v>
      </x:c>
      <x:c r="Y54" s="14" t="str">
        <x:v>Feature audit: make mirrorloopai.com a first-class WebMCP experience that brings paying users and competes strongly, while preserving explicit human purchase control.</x:v>
      </x:c>
    </x:row>
    <x:row r="55">
      <x:c r="A55" s="14" t="str">
        <x:v>CV-002</x:v>
      </x:c>
      <x:c r="B55" s="14" t="str">
        <x:v>Cross-route journey continuity</x:v>
      </x:c>
      <x:c r="C55" s="14" t="str">
        <x:v>Navigation and conversion</x:v>
      </x:c>
      <x:c r="D55" s="14" t="str">
        <x:v>web/index.html; web/shop.html; web/terms.html; web/privacy.html</x:v>
      </x:c>
      <x:c r="E55" s="14" t="str">
        <x:v>Home, quiz, shop, terms, privacy</x:v>
      </x:c>
      <x:c r="F55" s="14" t="str">
        <x:v>Visitor moving between reflection and purchase</x:v>
      </x:c>
      <x:c r="G55" s="14" t="str">
        <x:v>As a visitor, I want predictable navigation among the reflection, collection, terms, and privacy pages, so that I never lose orientation.</x:v>
      </x:c>
      <x:c r="H55" s="14" t="str">
        <x:v>All primary/footer links resolve; shop returns to reflection; legal pages return to relevant journey; clean URLs and legacy .html URLs behave consistently.</x:v>
      </x:c>
      <x:c r="I55" s="14" t="str">
        <x:v>PASS — all internal links resolve; clean and .html routes respond or redirect consistently.</x:v>
      </x:c>
      <x:c r="J55" s="14" t="str">
        <x:v>Verified</x:v>
      </x:c>
      <x:c r="K55" s="14" t="str">
        <x:v>Automated links + browser</x:v>
      </x:c>
      <x:c r="L55" s="14" t="str">
        <x:v>Crawl internal links and redirects; activate primary/footer/legal return links at desktop and mobile sizes; verify headings and focus destinations.</x:v>
      </x:c>
      <x:c r="M55" s="14" t="str">
        <x:v>PASS — all internal links resolve; clean and .html routes respond or redirect consistently. Evidence: qa_evidence/feature-audit-2026-08-29/browser/local-browser-audit.json; qa_evidence/feature-audit-2026-08-29/commands/node-gates.txt.</x:v>
      </x:c>
      <x:c r="N55" s="14" t="str"/>
      <x:c r="O55" s="14" t="str">
        <x:v>None</x:v>
      </x:c>
      <x:c r="P55" s="14" t="str">
        <x:v>No</x:v>
      </x:c>
      <x:c r="Q55" s="14" t="str">
        <x:v>No change required.</x:v>
      </x:c>
      <x:c r="R55" s="14" t="str"/>
      <x:c r="S55" s="14" t="str"/>
      <x:c r="T55" s="14" t="str">
        <x:v>Repeat the initial steps after any tracker-backed change and run adjacent regression tests.</x:v>
      </x:c>
      <x:c r="U55" s="14" t="str">
        <x:v>PASS — all internal links resolve; clean and .html routes respond or redirect consistently.</x:v>
      </x:c>
      <x:c r="V55" s="14" t="str">
        <x:v>Verified</x:v>
      </x:c>
      <x:c r="W55" s="14" t="str">
        <x:v>No</x:v>
      </x:c>
      <x:c r="X55" s="14" t="str"/>
      <x:c r="Y55" s="14" t="str">
        <x:v>Feature audit: make mirrorloopai.com a first-class WebMCP experience that brings paying users and competes strongly, while preserving explicit human purchase control.</x:v>
      </x:c>
    </x:row>
    <x:row r="56">
      <x:c r="A56" s="14" t="str">
        <x:v>CP-001</x:v>
      </x:c>
      <x:c r="B56" s="14" t="str">
        <x:v>Agent and crawler discovery metadata</x:v>
      </x:c>
      <x:c r="C56" s="14" t="str">
        <x:v>Competition presentation</x:v>
      </x:c>
      <x:c r="D56" s="14" t="str">
        <x:v>web/llms.txt; web/robots.txt; web/sitemap.xml; web/index.html</x:v>
      </x:c>
      <x:c r="E56" s="14" t="str">
        <x:v>/llms.txt; /robots.txt; /sitemap.xml; document head</x:v>
      </x:c>
      <x:c r="F56" s="14" t="str">
        <x:v>Judge, agent, and crawler</x:v>
      </x:c>
      <x:c r="G56" s="14" t="str">
        <x:v>As a judge or compatible agent, I want accurate public metadata describing the experience, so that I can discover its purpose and safe entry points.</x:v>
      </x:c>
      <x:c r="H56" s="14" t="str">
        <x:v>Metadata names the quiz and collection truthfully, includes current canonical routes, avoids private implementation claims, and does not advertise unavailable capabilities.</x:v>
      </x:c>
      <x:c r="I56" s="14" t="str">
        <x:v>PASS — llms.txt now documents the reflection, all eight tools, commerce boundary, shop, privacy, and terms routes.</x:v>
      </x:c>
      <x:c r="J56" s="14" t="str">
        <x:v>Fixed</x:v>
      </x:c>
      <x:c r="K56" s="14" t="str">
        <x:v>Automated content + production smoke</x:v>
      </x:c>
      <x:c r="L56" s="14" t="str">
        <x:v>Parse metadata and sitemap; compare routes and descriptions with deployed features; verify HTTP status and content type.</x:v>
      </x:c>
      <x:c r="M56" s="14" t="str">
        <x:v>PASS — local validation and production metadata checks found recommend_card_edition and the collection route. Evidence: qa_evidence/feature-audit-2026-08-29/commands/retest-node-gates.txt; qa_evidence/feature-audit-2026-08-29/commands/production-retest.txt.</x:v>
      </x:c>
      <x:c r="N56" s="14" t="str">
        <x:v>INITIAL FAILURE — Agent-facing discovery metadata is incomplete for the competition and commerce experience.</x:v>
      </x:c>
      <x:c r="O56" s="14" t="str">
        <x:v>Medium</x:v>
      </x:c>
      <x:c r="P56" s="14" t="str">
        <x:v>Yes</x:v>
      </x:c>
      <x:c r="Q56" s="14" t="str">
        <x:v>Expanded agent-facing metadata with accurate tool inventory, public routes, and non-agent payment boundary.</x:v>
      </x:c>
      <x:c r="R56" s="14" t="str">
        <x:v>web/llms.txt; scripts/validate-site.mjs</x:v>
      </x:c>
      <x:c r="S56" s="14" t="str">
        <x:v>9740b57</x:v>
      </x:c>
      <x:c r="T56" s="14" t="str">
        <x:v>Repeat the documented scenario on the deployed origin and rerun the targeted automated and browser regression gates.</x:v>
      </x:c>
      <x:c r="U56" s="14" t="str">
        <x:v>PASS — validation and public-origin checks confirm current WebMCP and shop metadata.</x:v>
      </x:c>
      <x:c r="V56" s="14" t="str">
        <x:v>Verified</x:v>
      </x:c>
      <x:c r="W56" s="14" t="str">
        <x:v>No</x:v>
      </x:c>
      <x:c r="X56" s="14" t="str">
        <x:v>Initial failed test retained: FAIL — llms.txt describes only the quiz and privacy page; it omits the shop and all eight WebMCP tools. Evidence: qa_evidence/feature-audit-2026-08-29/commands/metadata-links.txt.</x:v>
      </x:c>
      <x:c r="Y56" s="14" t="str">
        <x:v>Feature audit: make mirrorloopai.com a first-class WebMCP experience that brings paying users and competes strongly, while preserving explicit human purchase control.</x:v>
      </x:c>
    </x:row>
    <x:row r="57">
      <x:c r="A57" s="14" t="str">
        <x:v>WM-012</x:v>
      </x:c>
      <x:c r="B57" s="14" t="str">
        <x:v>Revise a prior agent-recorded answer</x:v>
      </x:c>
      <x:c r="C57" s="14" t="str">
        <x:v>WebMCP agency</x:v>
      </x:c>
      <x:c r="D57" s="14" t="str">
        <x:v>web/lib/webmcp.js; web/app.js</x:v>
      </x:c>
      <x:c r="E57" s="14" t="str">
        <x:v>answer_reflection_question</x:v>
      </x:c>
      <x:c r="F57" s="14" t="str">
        <x:v>Agent-assisted participant</x:v>
      </x:c>
      <x:c r="G57" s="14" t="str">
        <x:v>As an agent-assisted participant, I want to correct a previously recorded choice, so that one misunderstanding does not force me to restart the whole reflection.</x:v>
      </x:c>
      <x:c r="H57" s="14" t="str">
        <x:v>With explicit human confirmation, the existing answer tool may update an already answered earlier question without advancing or disturbing the current question; unanswered future questions remain forbidden.</x:v>
      </x:c>
      <x:c r="I57" s="14" t="str">
        <x:v>PASS — a confirmed prior answer can be revised without advancing the active question; future unanswered questions still reject.</x:v>
      </x:c>
      <x:c r="J57" s="14" t="str">
        <x:v>Fixed</x:v>
      </x:c>
      <x:c r="K57" s="14" t="str">
        <x:v>Automated + browser</x:v>
      </x:c>
      <x:c r="L57" s="14" t="str">
        <x:v>Start; answer questions 1 and 2; explicitly confirm a different choice for question 1; verify question 1 changes while question 3 remains active; attempt future question and expect rejection.</x:v>
      </x:c>
      <x:c r="M57" s="14" t="str">
        <x:v>PASS — revised question 1 from 01 to 02 while question 3 remained active; question 4 skip rejected; final review preserved the revision. Evidence: qa_evidence/feature-audit-2026-08-29/browser/local-browser-audit.json; qa_evidence/feature-audit-2026-08-29/commands/retest-node-gates.txt.</x:v>
      </x:c>
      <x:c r="N57" s="14" t="str">
        <x:v>INITIAL FAILURE — Agent-assisted users cannot correct a prior answer without restarting.</x:v>
      </x:c>
      <x:c r="O57" s="14" t="str">
        <x:v>High</x:v>
      </x:c>
      <x:c r="P57" s="14" t="str">
        <x:v>Yes</x:v>
      </x:c>
      <x:c r="Q57" s="14" t="str">
        <x:v>Extended the existing confirmed answer path to revise recorded answers without changing current progress, including completed reflections.</x:v>
      </x:c>
      <x:c r="R57" s="14" t="str">
        <x:v>web/app.js; web/lib/webmcp.js; web/tests/webmcp.test.mjs</x:v>
      </x:c>
      <x:c r="S57" s="14" t="str">
        <x:v>9740b57</x:v>
      </x:c>
      <x:c r="T57" s="14" t="str">
        <x:v>Repeat the documented scenario on the deployed origin and rerun the targeted automated and browser regression gates.</x:v>
      </x:c>
      <x:c r="U57" s="14" t="str">
        <x:v>PASS — revision returned revised=true/current_question_id=3; review shows question 1 choice 02; future skip remained blocked.</x:v>
      </x:c>
      <x:c r="V57" s="14" t="str">
        <x:v>Verified</x:v>
      </x:c>
      <x:c r="W57" s="14" t="str">
        <x:v>No</x:v>
      </x:c>
      <x:c r="X57" s="14" t="str">
        <x:v>Keep the suite at eight tools by safely extending answer_reflection_question rather than adding a payment-adjacent or redundant tool. Initial failed test retained: FAIL — answer_reflection_question rejects every question other than the active one, including already answered questions. Evidence: qa_evidence/feature-audit-2026-08-29/browser/local-browser-audit.json.</x:v>
      </x:c>
      <x:c r="Y57" s="14" t="str">
        <x:v>Feature audit: make mirrorloopai.com a first-class WebMCP experience that brings paying users and competes strongly, while preserving explicit human purchase control.</x:v>
      </x:c>
    </x:row>
    <x:row r="58">
      <x:c r="A58" s="14" t="str">
        <x:v>WM-013</x:v>
      </x:c>
      <x:c r="B58" s="14" t="str">
        <x:v>Immediately visible WebMCP readiness badge</x:v>
      </x:c>
      <x:c r="C58" s="14" t="str">
        <x:v>WebMCP orientation</x:v>
      </x:c>
      <x:c r="D58" s="14" t="str">
        <x:v>web/index.html; web/app.js; web/styles.css</x:v>
      </x:c>
      <x:c r="E58" s="14" t="str">
        <x:v>Landing-page header</x:v>
      </x:c>
      <x:c r="F58" s="14" t="str">
        <x:v>Competition judge and WebMCP-enabled visitor</x:v>
      </x:c>
      <x:c r="G58" s="14" t="str">
        <x:v>As a visitor using a WebMCP-enabled browser, I want an immediately visible WebMCP readiness label and tool count, so that I know the site is agent-ready before starting.</x:v>
      </x:c>
      <x:c r="H58" s="14" t="str">
        <x:v>The landing header visibly reports “WebMCP ready · 8 tools” after native registration, uses a clear ready indicator, exposes status semantics to assistive technology, and provides an understandable direct-use fallback when WebMCP is unavailable.</x:v>
      </x:c>
      <x:c r="I58" s="14" t="str">
        <x:v>PASS — the persistent header badge reports “WebMCP ready · 8 tools” after registration and “WebMCP unavailable · direct reflection ready” otherwise.</x:v>
      </x:c>
      <x:c r="J58" s="14" t="str">
        <x:v>Fixed</x:v>
      </x:c>
      <x:c r="K58" s="14" t="str">
        <x:v>Reference comparison + automated + Chrome responsive</x:v>
      </x:c>
      <x:c r="L58" s="14" t="str">
        <x:v>Compare the coffee reference status copy/style; load the MIRROR//LOOP landing page with and without native WebMCP; verify exact ready copy, tool count, header visibility, accessible role, fallback copy, and mobile layout.</x:v>
      </x:c>
      <x:c r="M58" s="14" t="str">
        <x:v>PASS — Node gates passed; supported and fallback browser checks passed; desktop and 390 px mobile views keep the badge in the header without horizontal overflow. Evidence: qa_evidence/feature-audit-2026-08-30/commands/webmcp-identification-node-gates.txt; qa_evidence/feature-audit-2026-08-30/commands/webmcp-identification-browser-gates.txt; qa_evidence/feature-audit-2026-08-30/screenshots/webmcp-ready-desktop.png; qa_evidence/feature-audit-2026-08-30/screenshots/webmcp-ready-mobile.png. Production evidence: qa_evidence/feature-audit-2026-08-30/commands/production-webmcp-identification.txt; qa_evidence/feature-audit-2026-08-30/browser/production-webmcp-identification.json.</x:v>
      </x:c>
      <x:c r="N58" s="14" t="str">
        <x:v>WebMCP capability is not identified in the concise, immediately visible pattern used by the reference implementation.</x:v>
      </x:c>
      <x:c r="O58" s="14" t="str">
        <x:v>High</x:v>
      </x:c>
      <x:c r="P58" s="14" t="str">
        <x:v>Yes</x:v>
      </x:c>
      <x:c r="Q58" s="14" t="str">
        <x:v>Moved the status into the persistent header, adopted the exact concise ready label, added a direct-use fallback and accessible live status, and added responsive badge styling plus validation assertions.</x:v>
      </x:c>
      <x:c r="R58" s="14" t="str">
        <x:v>web/index.html; web/app.js; web/styles.css; scripts/validate-site.mjs; CHANGELOG.md</x:v>
      </x:c>
      <x:c r="S58" s="14" t="str">
        <x:v>592c08a</x:v>
      </x:c>
      <x:c r="T58" s="14" t="str">
        <x:v>Run Node validation and browser tests; inspect desktop/mobile header in native WebMCP and fallback contexts; verify exactly eight tools.</x:v>
      </x:c>
      <x:c r="U58" s="14" t="str">
        <x:v>PASS — exactly eight registered tool names were observed; ready/fallback labels, header location, role/status semantics, and 390 px no-overflow behavior all passed. Node 21/21, Stripe 1/1, site validation, Go tests, and Go vet passed. Connected production Chrome reported data-active=true and the exact “WebMCP ready · 8 tools” label from the deployed 20260830-1 assets.</x:v>
      </x:c>
      <x:c r="V58" s="14" t="str">
        <x:v>Verified</x:v>
      </x:c>
      <x:c r="W58" s="14" t="str">
        <x:v>No</x:v>
      </x:c>
      <x:c r="X58" s="14" t="str">
        <x:v>Initial failed test retained: the previous badge was nested in the quiz introduction and said “AI-guided reflection ready · 8 tools available.” The fix changes identification only and does not expose email, cart mutation, checkout, or payment tools.</x:v>
      </x:c>
      <x:c r="Y58" s="14" t="str">
        <x:v>webmcp-coffee.jilles.fyi has “WebMCP ready · 4 tools” identification; MIRROR//LOOP needs the same.</x:v>
      </x:c>
    </x:row>
    <x:row r="59">
      <x:c r="A59" s="14" t="str">
        <x:v>SUB-001</x:v>
      </x:c>
      <x:c r="B59" s="14" t="str">
        <x:v>Public WebMCP demo</x:v>
      </x:c>
      <x:c r="C59" s="14" t="str">
        <x:v>Competition eligibility</x:v>
      </x:c>
      <x:c r="D59" s="14" t="str">
        <x:v>web/index.html; web/app.js; web/lib/webmcp.js; firebase.json</x:v>
      </x:c>
      <x:c r="E59" s="14" t="str">
        <x:v>https://mirrorloopai.com/</x:v>
      </x:c>
      <x:c r="F59" s="14" t="str">
        <x:v>Competition judge</x:v>
      </x:c>
      <x:c r="G59" s="14" t="str">
        <x:v>As a competition judge, I want a working public WebMCP experience, so that I can evaluate real human-agent collaboration.</x:v>
      </x:c>
      <x:c r="H59" s="14" t="str">
        <x:v>The live URL is freely reachable and Chrome with WebMCP discovers and safely executes the eight declared tools.</x:v>
      </x:c>
      <x:c r="I59" s="14" t="str">
        <x:v>PASS — the live site returns HTTP 200 and connected WebMCP-enabled Chrome reports “WebMCP ready · 8 tools”; existing evidence includes native registration and safe flow execution.</x:v>
      </x:c>
      <x:c r="J59" s="14" t="str">
        <x:v>Verified</x:v>
      </x:c>
      <x:c r="K59" s="14" t="str">
        <x:v>Production browser + HTTP</x:v>
      </x:c>
      <x:c r="L59" s="14" t="str">
        <x:v>Open the production URL in connected WebMCP-enabled Chrome; verify the visible tool count, inspect registration state, and execute a safe tool flow.</x:v>
      </x:c>
      <x:c r="M59" s="14" t="str">
        <x:v>PASS — public endpoint and connected-Chrome native WebMCP evidence verified. Evidence: qa_evidence/feature-audit-2026-08-30/commands/devpost-production-baseline.txt; qa_evidence/feature-audit-2026-08-30/browser/production-webmcp-identification.json.</x:v>
      </x:c>
      <x:c r="N59" s="14" t="str"/>
      <x:c r="O59" s="14" t="str">
        <x:v>None</x:v>
      </x:c>
      <x:c r="P59" s="14" t="str">
        <x:v>No</x:v>
      </x:c>
      <x:c r="Q59" s="14" t="str"/>
      <x:c r="R59" s="14" t="str"/>
      <x:c r="S59" s="14" t="str"/>
      <x:c r="T59" s="14" t="str"/>
      <x:c r="U59" s="14" t="str"/>
      <x:c r="V59" s="14" t="str">
        <x:v>Verified</x:v>
      </x:c>
      <x:c r="W59" s="14" t="str">
        <x:v>No</x:v>
      </x:c>
      <x:c r="X59" s="14" t="str">
        <x:v>Official source: https://webmcp.devpost.com/ and https://webmcp.devpost.com/rules. Live source snapshot and SHA-256: qa_evidence/feature-audit-2026-08-30/commands/devpost-live-source-verification.txt.</x:v>
      </x:c>
      <x:c r="Y59" s="14" t="str">
        <x:v>Double check whether MIRROR//LOOP covers all WebMCP Challenge submission bases.</x:v>
      </x:c>
    </x:row>
    <x:row r="60">
      <x:c r="A60" s="14" t="str">
        <x:v>SUB-002</x:v>
      </x:c>
      <x:c r="B60" s="14" t="str">
        <x:v>Public source repository and license</x:v>
      </x:c>
      <x:c r="C60" s="14" t="str">
        <x:v>Competition eligibility</x:v>
      </x:c>
      <x:c r="D60" s="14" t="str">
        <x:v>README.md; LICENSE; repository settings</x:v>
      </x:c>
      <x:c r="E60" s="14" t="str">
        <x:v>GitHub repository</x:v>
      </x:c>
      <x:c r="F60" s="14" t="str">
        <x:v>Competition judge</x:v>
      </x:c>
      <x:c r="G60" s="14" t="str">
        <x:v>As a competition judge, I want public source code under a visible open-source license, so that I can inspect and reproduce the project.</x:v>
      </x:c>
      <x:c r="H60" s="14" t="str">
        <x:v>The repository is public, contains the necessary source and assets, and GitHub detects the top-level MIT license.</x:v>
      </x:c>
      <x:c r="I60" s="14" t="str">
        <x:v>FAIL — GitHub reports visibility PRIVATE. GitHub detects the top-level MIT license, but the mandatory anonymous public-source requirement is not met.</x:v>
      </x:c>
      <x:c r="J60" s="14" t="str">
        <x:v>Failed Test</x:v>
      </x:c>
      <x:c r="K60" s="14" t="str">
        <x:v>GitHub metadata inspection</x:v>
      </x:c>
      <x:c r="L60" s="14" t="str">
        <x:v>Query repository visibility and license metadata; verify anonymous public access requirement and top-level license.</x:v>
      </x:c>
      <x:c r="M60" s="14" t="str">
        <x:v>FAIL — visibility is PRIVATE; MIT license is detected. Evidence: qa_evidence/feature-audit-2026-08-30/commands/devpost-submission-baseline.txt.</x:v>
      </x:c>
      <x:c r="N60" s="14" t="str">
        <x:v>Repository is private, while the official rules require a public repository.</x:v>
      </x:c>
      <x:c r="O60" s="14" t="str">
        <x:v>Critical</x:v>
      </x:c>
      <x:c r="P60" s="14" t="str">
        <x:v>Yes — external repository setting change requires operator confirmation.</x:v>
      </x:c>
      <x:c r="Q60" s="14" t="str">
        <x:v>Expanded public-facing source, license, setup, and submission documentation; repository visibility was intentionally not changed without operator confirmation.</x:v>
      </x:c>
      <x:c r="R60" s="14" t="str">
        <x:v>README.md; SUBMISSION.md; THIRD_PARTY_NOTICES.md</x:v>
      </x:c>
      <x:c r="S60" s="14" t="str">
        <x:v>2f08435</x:v>
      </x:c>
      <x:c r="T60" s="14" t="str">
        <x:v>After operator confirmation, make the repository public and verify anonymous access plus GitHub license detection.</x:v>
      </x:c>
      <x:c r="U60" s="14" t="str">
        <x:v>NOT RUN — repository remains private; external publication gate is still open.</x:v>
      </x:c>
      <x:c r="V60" s="14" t="str">
        <x:v>Failed Test</x:v>
      </x:c>
      <x:c r="W60" s="14" t="str">
        <x:v>Yes — confirm publication after the final secret/IP review.</x:v>
      </x:c>
      <x:c r="X60" s="14" t="str">
        <x:v>Official source: https://webmcp.devpost.com/ and https://webmcp.devpost.com/rules. Live source snapshot and SHA-256: qa_evidence/feature-audit-2026-08-30/commands/devpost-live-source-verification.txt.</x:v>
      </x:c>
      <x:c r="Y60" s="14" t="str">
        <x:v>Double check whether MIRROR//LOOP covers all WebMCP Challenge submission bases.</x:v>
      </x:c>
    </x:row>
    <x:row r="61">
      <x:c r="A61" s="14" t="str">
        <x:v>SUB-003</x:v>
      </x:c>
      <x:c r="B61" s="14" t="str">
        <x:v>Reproducible setup and testing guide</x:v>
      </x:c>
      <x:c r="C61" s="14" t="str">
        <x:v>Competition reproducibility</x:v>
      </x:c>
      <x:c r="D61" s="14" t="str">
        <x:v>README.md; package.json; go.mod; Makefile</x:v>
      </x:c>
      <x:c r="E61" s="14" t="str">
        <x:v>README / local checkout</x:v>
      </x:c>
      <x:c r="F61" s="14" t="str">
        <x:v>Technical judge</x:v>
      </x:c>
      <x:c r="G61" s="14" t="str">
        <x:v>As a technical judge, I want concise setup, run, test, and deployment instructions, so that I can reproduce the project without private knowledge.</x:v>
      </x:c>
      <x:c r="H61" s="14" t="str">
        <x:v>README documents prerequisites, local serving, validation, WebMCP activation/testing, backend configuration boundaries, and deployment without exposing secrets.</x:v>
      </x:c>
      <x:c r="I61" s="14" t="str">
        <x:v>FAIL — README lists verification commands but lacks prerequisites, local run steps, backend configuration boundaries, deployment instructions, and a judge-oriented WebMCP test procedure.</x:v>
      </x:c>
      <x:c r="J61" s="14" t="str">
        <x:v>Fixed</x:v>
      </x:c>
      <x:c r="K61" s="14" t="str">
        <x:v>Documentation audit</x:v>
      </x:c>
      <x:c r="L61" s="14" t="str">
        <x:v>Follow README from a clean-reader perspective; compare every required command and prerequisite with repository files; run the documented verification commands.</x:v>
      </x:c>
      <x:c r="M61" s="14" t="str">
        <x:v>FAIL — required setup/reproduction sections are incomplete. Evidence: qa_evidence/feature-audit-2026-08-30/commands/devpost-submission-baseline.txt.</x:v>
      </x:c>
      <x:c r="N61" s="14" t="str">
        <x:v>A judge cannot reproduce and test the full project from the current README alone.</x:v>
      </x:c>
      <x:c r="O61" s="14" t="str">
        <x:v>High</x:v>
      </x:c>
      <x:c r="P61" s="14" t="str">
        <x:v>Yes</x:v>
      </x:c>
      <x:c r="Q61" s="14" t="str">
        <x:v>Expanded the README with prerequisites, local serving, verification, native WebMCP testing, backend boundaries, and deployment guidance.</x:v>
      </x:c>
      <x:c r="R61" s="14" t="str">
        <x:v>README.md; package.json; scripts/validate-submission.mjs</x:v>
      </x:c>
      <x:c r="S61" s="14" t="str">
        <x:v>2f08435</x:v>
      </x:c>
      <x:c r="T61" s="14" t="str">
        <x:v>Run npm run validate:submission and follow the documented local/test commands.</x:v>
      </x:c>
      <x:c r="U61" s="14" t="str">
        <x:v>PASS — all local package documentation assertions passed. Evidence: qa_evidence/feature-audit-2026-08-30/commands/devpost-submission-package-final.txt.</x:v>
      </x:c>
      <x:c r="V61" s="14" t="str">
        <x:v>Verified</x:v>
      </x:c>
      <x:c r="W61" s="14" t="str">
        <x:v>No</x:v>
      </x:c>
      <x:c r="X61" s="14" t="str">
        <x:v>Official source: https://webmcp.devpost.com/ and https://webmcp.devpost.com/rules. Live source snapshot and SHA-256: qa_evidence/feature-audit-2026-08-30/commands/devpost-live-source-verification.txt.</x:v>
      </x:c>
      <x:c r="Y61" s="14" t="str">
        <x:v>Double check whether MIRROR//LOOP covers all WebMCP Challenge submission bases.</x:v>
      </x:c>
    </x:row>
    <x:row r="62">
      <x:c r="A62" s="14" t="str">
        <x:v>SUB-004</x:v>
      </x:c>
      <x:c r="B62" s="14" t="str">
        <x:v>Required submission narrative</x:v>
      </x:c>
      <x:c r="C62" s="14" t="str">
        <x:v>Competition submission</x:v>
      </x:c>
      <x:c r="D62" s="14" t="str">
        <x:v>SUBMISSION.md; README.md</x:v>
      </x:c>
      <x:c r="E62" s="14" t="str">
        <x:v>Devpost project description</x:v>
      </x:c>
      <x:c r="F62" s="14" t="str">
        <x:v>Competition judge</x:v>
      </x:c>
      <x:c r="G62" s="14" t="str">
        <x:v>As a competition judge, I want a concise explanation of the WebMCP fit, UX improvement, new collaboration, and implementation, so that I can score the project quickly.</x:v>
      </x:c>
      <x:c r="H62" s="14" t="str">
        <x:v>A copy-ready English submission narrative explicitly answers all four required questions and links the live demo and source.</x:v>
      </x:c>
      <x:c r="I62" s="14" t="str">
        <x:v>FAIL — no copy-ready narrative answers the four required Devpost explanation prompts.</x:v>
      </x:c>
      <x:c r="J62" s="14" t="str">
        <x:v>Fixed</x:v>
      </x:c>
      <x:c r="K62" s="14" t="str">
        <x:v>Content audit</x:v>
      </x:c>
      <x:c r="L62" s="14" t="str">
        <x:v>Inspect repository for a copy-ready narrative; verify all four required explanations, live/source links, and accurate claims.</x:v>
      </x:c>
      <x:c r="M62" s="14" t="str">
        <x:v>FAIL — no submission artifact was found. Evidence: qa_evidence/feature-audit-2026-08-30/commands/devpost-submission-baseline.txt.</x:v>
      </x:c>
      <x:c r="N62" s="14" t="str">
        <x:v>Required submission description is absent.</x:v>
      </x:c>
      <x:c r="O62" s="14" t="str">
        <x:v>Critical</x:v>
      </x:c>
      <x:c r="P62" s="14" t="str">
        <x:v>Yes</x:v>
      </x:c>
      <x:c r="Q62" s="14" t="str">
        <x:v>Created a copy-ready English narrative that directly answers all four required Devpost questions.</x:v>
      </x:c>
      <x:c r="R62" s="14" t="str">
        <x:v>SUBMISSION.md; scripts/validate-submission.mjs</x:v>
      </x:c>
      <x:c r="S62" s="14" t="str">
        <x:v>2f08435</x:v>
      </x:c>
      <x:c r="T62" s="14" t="str">
        <x:v>Run submission validation and inspect the four required headings against the official rules.</x:v>
      </x:c>
      <x:c r="U62" s="14" t="str">
        <x:v>PASS — all four required explanation sections and public links are present. Evidence: qa_evidence/feature-audit-2026-08-30/commands/devpost-submission-package-final.txt.</x:v>
      </x:c>
      <x:c r="V62" s="14" t="str">
        <x:v>Verified</x:v>
      </x:c>
      <x:c r="W62" s="14" t="str">
        <x:v>No</x:v>
      </x:c>
      <x:c r="X62" s="14" t="str">
        <x:v>Official source: https://webmcp.devpost.com/ and https://webmcp.devpost.com/rules. Live source snapshot and SHA-256: qa_evidence/feature-audit-2026-08-30/commands/devpost-live-source-verification.txt.</x:v>
      </x:c>
      <x:c r="Y62" s="14" t="str">
        <x:v>Double check whether MIRROR//LOOP covers all WebMCP Challenge submission bases.</x:v>
      </x:c>
    </x:row>
    <x:row r="63">
      <x:c r="A63" s="14" t="str">
        <x:v>SUB-005</x:v>
      </x:c>
      <x:c r="B63" s="14" t="str">
        <x:v>Under-three-minute narrated demo plan</x:v>
      </x:c>
      <x:c r="C63" s="14" t="str">
        <x:v>Competition submission</x:v>
      </x:c>
      <x:c r="D63" s="14" t="str">
        <x:v>SUBMISSION.md; docs/demo/</x:v>
      </x:c>
      <x:c r="E63" s="14" t="str">
        <x:v>Public YouTube demo</x:v>
      </x:c>
      <x:c r="F63" s="14" t="str">
        <x:v>Competition judge</x:v>
      </x:c>
      <x:c r="G63" s="14" t="str">
        <x:v>As a competition judge, I want a short narrated demonstration, so that I can see the human-agent workflow and working tools without reconstructing it.</x:v>
      </x:c>
      <x:c r="H63" s="14" t="str">
        <x:v>A public YouTube video under three minutes demonstrates the live site, visible WebMCP readiness, agent-assisted reflection, card lookup, edition recommendation, and human-controlled conversion; the repo contains a timed shot list.</x:v>
      </x:c>
      <x:c r="I63" s="14" t="str">
        <x:v>FAIL — no public YouTube URL or timed sub-three-minute recording plan exists in the repository.</x:v>
      </x:c>
      <x:c r="J63" s="14" t="str">
        <x:v>Needs Product Decision</x:v>
      </x:c>
      <x:c r="K63" s="14" t="str">
        <x:v>Artifact + content audit</x:v>
      </x:c>
      <x:c r="L63" s="14" t="str">
        <x:v>Check for a public YouTube URL and a timed script shorter than three minutes; verify the script demonstrates functioning WebMCP and avoids unlicensed media.</x:v>
      </x:c>
      <x:c r="M63" s="14" t="str">
        <x:v>FAIL — no video or demo-plan artifact was found. Evidence: qa_evidence/feature-audit-2026-08-30/commands/devpost-submission-baseline.txt.</x:v>
      </x:c>
      <x:c r="N63" s="14" t="str">
        <x:v>The required public demo video is absent.</x:v>
      </x:c>
      <x:c r="O63" s="14" t="str">
        <x:v>Critical</x:v>
      </x:c>
      <x:c r="P63" s="14" t="str">
        <x:v>Yes — create the local script now; recording/upload remains an operator action.</x:v>
      </x:c>
      <x:c r="Q63" s="14" t="str">
        <x:v>Added a timed 2:35 demo shot list, narration, rights safeguards, captions check, and required flow. The public YouTube artifact remains external.</x:v>
      </x:c>
      <x:c r="R63" s="14" t="str">
        <x:v>SUBMISSION.md; scripts/validate-submission.mjs</x:v>
      </x:c>
      <x:c r="S63" s="14" t="str">
        <x:v>2f08435</x:v>
      </x:c>
      <x:c r="T63" s="14" t="str">
        <x:v>Validate the timed plan; after operator publication, verify the public YouTube URL, duration, audio, captions, and deployed behavior.</x:v>
      </x:c>
      <x:c r="U63" s="14" t="str">
        <x:v>PARTIAL PASS — local 2:35 plan is validated; public YouTube URL remains pending. Evidence: qa_evidence/feature-audit-2026-08-30/commands/devpost-submission-package-final.txt.</x:v>
      </x:c>
      <x:c r="V63" s="14" t="str">
        <x:v>Needs Product Decision</x:v>
      </x:c>
      <x:c r="W63" s="14" t="str">
        <x:v>Yes — operator must record/approve and publish the final video.</x:v>
      </x:c>
      <x:c r="X63" s="14" t="str">
        <x:v>Official source: https://webmcp.devpost.com/ and https://webmcp.devpost.com/rules. Live source snapshot and SHA-256: qa_evidence/feature-audit-2026-08-30/commands/devpost-live-source-verification.txt.</x:v>
      </x:c>
      <x:c r="Y63" s="14" t="str">
        <x:v>Double check whether MIRROR//LOOP covers all WebMCP Challenge submission bases.</x:v>
      </x:c>
    </x:row>
    <x:row r="64">
      <x:c r="A64" s="14" t="str">
        <x:v>SUB-006</x:v>
      </x:c>
      <x:c r="B64" s="14" t="str">
        <x:v>Pre-existing versus challenge work disclosure</x:v>
      </x:c>
      <x:c r="C64" s="14" t="str">
        <x:v>Competition eligibility</x:v>
      </x:c>
      <x:c r="D64" s="14" t="str">
        <x:v>README.md; SUBMISSION.md; git history</x:v>
      </x:c>
      <x:c r="E64" s="14" t="str">
        <x:v>Repository history</x:v>
      </x:c>
      <x:c r="F64" s="14" t="str">
        <x:v>Competition judge</x:v>
      </x:c>
      <x:c r="G64" s="14" t="str">
        <x:v>As a competition judge, I want the pre-existing product separated from challenge-period WebMCP work, so that I can verify meaningful development after the event began.</x:v>
      </x:c>
      <x:c r="H64" s="14" t="str">
        <x:v>Documentation distinguishes the pre-existing site from WebMCP additions and cites timestamped commits made after 2026-08-25.</x:v>
      </x:c>
      <x:c r="I64" s="14" t="str">
        <x:v>FAIL — timestamped commits after 2026-08-25 prove challenge-period work, but public documentation does not distinguish the pre-existing product from the new WebMCP extension.</x:v>
      </x:c>
      <x:c r="J64" s="14" t="str">
        <x:v>Fixed</x:v>
      </x:c>
      <x:c r="K64" s="14" t="str">
        <x:v>Git + documentation audit</x:v>
      </x:c>
      <x:c r="L64" s="14" t="str">
        <x:v>Inspect timestamped commits since 2026-08-25 and compare them with an explicit prior/new-work section in public documentation.</x:v>
      </x:c>
      <x:c r="M64" s="14" t="str">
        <x:v>FAIL — commit evidence exists; required disclosure is absent. Evidence: qa_evidence/feature-audit-2026-08-30/commands/devpost-submission-baseline.txt.</x:v>
      </x:c>
      <x:c r="N64" s="14" t="str">
        <x:v>Existing-project disclosure is missing despite strong git evidence.</x:v>
      </x:c>
      <x:c r="O64" s="14" t="str">
        <x:v>High</x:v>
      </x:c>
      <x:c r="P64" s="14" t="str">
        <x:v>Yes</x:v>
      </x:c>
      <x:c r="Q64" s="14" t="str">
        <x:v>Documented the pre-existing product separately from challenge-period WebMCP extensions and cited four timestamped commits.</x:v>
      </x:c>
      <x:c r="R64" s="14" t="str">
        <x:v>README.md; SUBMISSION.md; scripts/validate-submission.mjs</x:v>
      </x:c>
      <x:c r="S64" s="14" t="str">
        <x:v>2f08435</x:v>
      </x:c>
      <x:c r="T64" s="14" t="str">
        <x:v>Compare the disclosure with git log dates and validate every cited commit.</x:v>
      </x:c>
      <x:c r="U64" s="14" t="str">
        <x:v>PASS — prior/new work is explicit and all cited challenge commits exist after 2026-08-25.</x:v>
      </x:c>
      <x:c r="V64" s="14" t="str">
        <x:v>Verified</x:v>
      </x:c>
      <x:c r="W64" s="14" t="str">
        <x:v>No</x:v>
      </x:c>
      <x:c r="X64" s="14" t="str">
        <x:v>Official source: https://webmcp.devpost.com/ and https://webmcp.devpost.com/rules. Live source snapshot and SHA-256: qa_evidence/feature-audit-2026-08-30/commands/devpost-live-source-verification.txt.</x:v>
      </x:c>
      <x:c r="Y64" s="14" t="str">
        <x:v>Double check whether MIRROR//LOOP covers all WebMCP Challenge submission bases.</x:v>
      </x:c>
    </x:row>
    <x:row r="65">
      <x:c r="A65" s="14" t="str">
        <x:v>SUB-007</x:v>
      </x:c>
      <x:c r="B65" s="14" t="str">
        <x:v>Devpost project draft readiness</x:v>
      </x:c>
      <x:c r="C65" s="14" t="str">
        <x:v>Competition operations</x:v>
      </x:c>
      <x:c r="D65" s="14" t="str">
        <x:v>SUBMISSION.md</x:v>
      </x:c>
      <x:c r="E65" s="14" t="str">
        <x:v>Devpost dashboard</x:v>
      </x:c>
      <x:c r="F65" s="14" t="str">
        <x:v>Entrant</x:v>
      </x:c>
      <x:c r="G65" s="14" t="str">
        <x:v>As an entrant, I want a prepared Devpost draft checklist, so that I can create the project without omitting a required field.</x:v>
      </x:c>
      <x:c r="H65" s="14" t="str">
        <x:v>A Devpost project exists or a complete field-by-field draft package is ready; external creation remains operator-confirmed.</x:v>
      </x:c>
      <x:c r="I65" s="14" t="str">
        <x:v>FAIL — authenticated Devpost dashboard shows no project; local field-by-field submission package is also absent.</x:v>
      </x:c>
      <x:c r="J65" s="14" t="str">
        <x:v>Needs Product Decision</x:v>
      </x:c>
      <x:c r="K65" s="14" t="str">
        <x:v>Authenticated browser + checklist audit</x:v>
      </x:c>
      <x:c r="L65" s="14" t="str">
        <x:v>Inspect the entrant dashboard for an existing project; compare local package with all required Devpost fields.</x:v>
      </x:c>
      <x:c r="M65" s="14" t="str">
        <x:v>FAIL — dashboard says “Start a Project to begin your submission.” Evidence: qa_evidence/feature-audit-2026-08-30/browser/devpost-dashboard-and-browser-state.json.</x:v>
      </x:c>
      <x:c r="N65" s="14" t="str">
        <x:v>No Devpost project has been created.</x:v>
      </x:c>
      <x:c r="O65" s="14" t="str">
        <x:v>Critical</x:v>
      </x:c>
      <x:c r="P65" s="14" t="str">
        <x:v>Yes — prepare local package; project creation requires operator confirmation.</x:v>
      </x:c>
      <x:c r="Q65" s="14" t="str">
        <x:v>Prepared the title, tagline, URLs, description, judging map, test path, video plan, and final field checklist. Devpost project creation remains external.</x:v>
      </x:c>
      <x:c r="R65" s="14" t="str">
        <x:v>SUBMISSION.md; scripts/validate-submission.mjs</x:v>
      </x:c>
      <x:c r="S65" s="14" t="str">
        <x:v>2f08435</x:v>
      </x:c>
      <x:c r="T65" s="14" t="str">
        <x:v>Run local package validation; after confirmation, create the Devpost project and compare every field with SUBMISSION.md.</x:v>
      </x:c>
      <x:c r="U65" s="14" t="str">
        <x:v>PARTIAL PASS — complete local field package exists; authenticated dashboard still has no project. Evidence: qa_evidence/feature-audit-2026-08-30/commands/devpost-submission-package-final.txt; qa_evidence/feature-audit-2026-08-30/browser/devpost-dashboard-and-browser-state.json.</x:v>
      </x:c>
      <x:c r="V65" s="14" t="str">
        <x:v>Needs Product Decision</x:v>
      </x:c>
      <x:c r="W65" s="14" t="str">
        <x:v>Yes — creating the Devpost project is an external representational action.</x:v>
      </x:c>
      <x:c r="X65" s="14" t="str">
        <x:v>Official source: https://webmcp.devpost.com/ and https://webmcp.devpost.com/rules. Live source snapshot and SHA-256: qa_evidence/feature-audit-2026-08-30/commands/devpost-live-source-verification.txt.</x:v>
      </x:c>
      <x:c r="Y65" s="14" t="str">
        <x:v>Double check whether MIRROR//LOOP covers all WebMCP Challenge submission bases.</x:v>
      </x:c>
    </x:row>
    <x:row r="66">
      <x:c r="A66" s="14" t="str">
        <x:v>SUB-008</x:v>
      </x:c>
      <x:c r="B66" s="14" t="str">
        <x:v>Eligibility, ownership, and third-party rights attestation</x:v>
      </x:c>
      <x:c r="C66" s="14" t="str">
        <x:v>Competition compliance</x:v>
      </x:c>
      <x:c r="D66" s="14" t="str">
        <x:v>LICENSE; README.md; SUBMISSION.md; THIRD_PARTY_NOTICES.md</x:v>
      </x:c>
      <x:c r="E66" s="14" t="str">
        <x:v>Submission attestation</x:v>
      </x:c>
      <x:c r="F66" s="14" t="str">
        <x:v>Entrant</x:v>
      </x:c>
      <x:c r="G66" s="14" t="str">
        <x:v>As an entrant, I want an explicit rights and eligibility checklist, so that I do not submit material I cannot lawfully enter.</x:v>
      </x:c>
      <x:c r="H66" s="14" t="str">
        <x:v>The operator confirms entrant eligibility and ownership/authorization; repository documents third-party services/assets and excludes private corpora and secrets.</x:v>
      </x:c>
      <x:c r="I66" s="14" t="str">
        <x:v>PARTIAL — MIT license and private-corpus exclusions are present, but entrant eligibility, ownership authorization, and a consolidated third-party notice remain unresolved.</x:v>
      </x:c>
      <x:c r="J66" s="14" t="str">
        <x:v>Needs Product Decision</x:v>
      </x:c>
      <x:c r="K66" s="14" t="str">
        <x:v>Compliance checklist</x:v>
      </x:c>
      <x:c r="L66" s="14" t="str">
        <x:v>Review rules, licenses, asset/source statements, dependency/service notices, and identify attestations that only the operator can confirm.</x:v>
      </x:c>
      <x:c r="M66" s="14" t="str">
        <x:v>PARTIAL — repository safeguards exist; operator attestations are unresolved. Evidence: qa_evidence/feature-audit-2026-08-30/commands/devpost-requirements-audit.txt; README.md; LICENSE.</x:v>
      </x:c>
      <x:c r="N66" s="14" t="str">
        <x:v>Operator-only eligibility and rights attestations cannot be inferred from code.</x:v>
      </x:c>
      <x:c r="O66" s="14" t="str">
        <x:v>Critical</x:v>
      </x:c>
      <x:c r="P66" s="14" t="str">
        <x:v>Yes — add a checklist and third-party notice; operator must confirm attestations.</x:v>
      </x:c>
      <x:c r="Q66" s="14" t="str">
        <x:v>Added third-party service/data boundaries and an explicit operator rights and eligibility checklist. Human attestations remain unresolved.</x:v>
      </x:c>
      <x:c r="R66" s="14" t="str">
        <x:v>THIRD_PARTY_NOTICES.md; README.md; SUBMISSION.md; scripts/validate-submission.mjs</x:v>
      </x:c>
      <x:c r="S66" s="14" t="str">
        <x:v>2f08435</x:v>
      </x:c>
      <x:c r="T66" s="14" t="str">
        <x:v>Run local validation; operator completes every attestation and final public-repository scan.</x:v>
      </x:c>
      <x:c r="U66" s="14" t="str">
        <x:v>PARTIAL PASS — notices and checklist are complete; entrant eligibility and rights assertions require operator confirmation.</x:v>
      </x:c>
      <x:c r="V66" s="14" t="str">
        <x:v>Needs Product Decision</x:v>
      </x:c>
      <x:c r="W66" s="14" t="str">
        <x:v>Yes — entrant age/location/authority and asset rights.</x:v>
      </x:c>
      <x:c r="X66" s="14" t="str">
        <x:v>Official source: https://webmcp.devpost.com/ and https://webmcp.devpost.com/rules. Live source snapshot and SHA-256: qa_evidence/feature-audit-2026-08-30/commands/devpost-live-source-verification.txt.</x:v>
      </x:c>
      <x:c r="Y66" s="14" t="str">
        <x:v>Double check whether MIRROR//LOOP covers all WebMCP Challenge submission bases.</x:v>
      </x:c>
    </x:row>
    <x:row r="67">
      <x:c r="A67" s="14" t="str">
        <x:v>SUB-009</x:v>
      </x:c>
      <x:c r="B67" s="14" t="str">
        <x:v>Judging-period availability and release freeze</x:v>
      </x:c>
      <x:c r="C67" s="14" t="str">
        <x:v>Competition operations</x:v>
      </x:c>
      <x:c r="D67" s="14" t="str">
        <x:v>SUBMISSION.md; README.md</x:v>
      </x:c>
      <x:c r="E67" s="14" t="str">
        <x:v>Live service and repository</x:v>
      </x:c>
      <x:c r="F67" s="14" t="str">
        <x:v>Competition judge</x:v>
      </x:c>
      <x:c r="G67" s="14" t="str">
        <x:v>As a competition judge, I want stable unrestricted access during judging, so that the evaluated project does not change or disappear.</x:v>
      </x:c>
      <x:c r="H67" s="14" t="str">
        <x:v>Documentation defines the judging window, free-access checks, release tag, freeze procedure, and fork-only post-deadline development policy.</x:v>
      </x:c>
      <x:c r="I67" s="14" t="str">
        <x:v>FAIL — no documented release tag, deadline freeze, judging-window availability checks, or fork-only continuation plan exists.</x:v>
      </x:c>
      <x:c r="J67" s="14" t="str">
        <x:v>Fixed</x:v>
      </x:c>
      <x:c r="K67" s="14" t="str">
        <x:v>Operations documentation audit</x:v>
      </x:c>
      <x:c r="L67" s="14" t="str">
        <x:v>Inspect docs for deadline, judging window, availability checks, release tag, freeze owner, and post-deadline fork policy.</x:v>
      </x:c>
      <x:c r="M67" s="14" t="str">
        <x:v>FAIL — freeze/judging terms are absent from current docs. Evidence: qa_evidence/feature-audit-2026-08-30/commands/devpost-submission-baseline.txt.</x:v>
      </x:c>
      <x:c r="N67" s="14" t="str">
        <x:v>The project lacks a judging-period stability plan.</x:v>
      </x:c>
      <x:c r="O67" s="14" t="str">
        <x:v>High</x:v>
      </x:c>
      <x:c r="P67" s="14" t="str">
        <x:v>Yes</x:v>
      </x:c>
      <x:c r="Q67" s="14" t="str">
        <x:v>Added deadline, judging window, release tag, anonymous-access checks, no-change freeze, and fork-only continuation procedure.</x:v>
      </x:c>
      <x:c r="R67" s="14" t="str">
        <x:v>SUBMISSION.md; README.md; scripts/validate-submission.mjs</x:v>
      </x:c>
      <x:c r="S67" s="14" t="str">
        <x:v>2f08435</x:v>
      </x:c>
      <x:c r="T67" s="14" t="str">
        <x:v>Run submission validation and inspect the freeze steps and dates against the official rules.</x:v>
      </x:c>
      <x:c r="U67" s="14" t="str">
        <x:v>PASS — freeze and judging-window plan validated. Evidence: qa_evidence/feature-audit-2026-08-30/commands/devpost-submission-package-final.txt.</x:v>
      </x:c>
      <x:c r="V67" s="14" t="str">
        <x:v>Verified</x:v>
      </x:c>
      <x:c r="W67" s="14" t="str">
        <x:v>No</x:v>
      </x:c>
      <x:c r="X67" s="14" t="str">
        <x:v>Official source: https://webmcp.devpost.com/ and https://webmcp.devpost.com/rules. Live source snapshot and SHA-256: qa_evidence/feature-audit-2026-08-30/commands/devpost-live-source-verification.txt.</x:v>
      </x:c>
      <x:c r="Y67" s="14" t="str">
        <x:v>Double check whether MIRROR//LOOP covers all WebMCP Challenge submission bases.</x:v>
      </x:c>
    </x:row>
    <x:row r="68">
      <x:c r="A68" s="14" t="str">
        <x:v>SUB-010</x:v>
      </x:c>
      <x:c r="B68" s="14" t="str">
        <x:v>Four-criterion judge orientation</x:v>
      </x:c>
      <x:c r="C68" s="14" t="str">
        <x:v>Competition presentation</x:v>
      </x:c>
      <x:c r="D68" s="14" t="str">
        <x:v>README.md; SUBMISSION.md; qa_evidence/</x:v>
      </x:c>
      <x:c r="E68" s="14" t="str">
        <x:v>README and Devpost description</x:v>
      </x:c>
      <x:c r="F68" s="14" t="str">
        <x:v>Competition judge</x:v>
      </x:c>
      <x:c r="G68" s="14" t="str">
        <x:v>As a competition judge, I want evidence organized around WebMCP leverage, execution, impact, and creativity, so that each scoring dimension is immediately supported.</x:v>
      </x:c>
      <x:c r="H68" s="14" t="str">
        <x:v>The submission maps concrete product behavior and evidence to all four equally weighted judging criteria without unsupported claims.</x:v>
      </x:c>
      <x:c r="I68" s="14" t="str">
        <x:v>FAIL — implementation evidence is strong, but no judge-facing map addresses all four equal criteria.</x:v>
      </x:c>
      <x:c r="J68" s="14" t="str">
        <x:v>Fixed</x:v>
      </x:c>
      <x:c r="K68" s="14" t="str">
        <x:v>Content + evidence audit</x:v>
      </x:c>
      <x:c r="L68" s="14" t="str">
        <x:v>Compare README/submission copy and evidence pointers with each official judging criterion; reject unsupported superlatives.</x:v>
      </x:c>
      <x:c r="M68" s="14" t="str">
        <x:v>FAIL — no criterion map was found. Evidence: qa_evidence/feature-audit-2026-08-30/commands/devpost-submission-baseline.txt.</x:v>
      </x:c>
      <x:c r="N68" s="14" t="str">
        <x:v>Judges must reconstruct the scoring case from source and QA artifacts.</x:v>
      </x:c>
      <x:c r="O68" s="14" t="str">
        <x:v>High</x:v>
      </x:c>
      <x:c r="P68" s="14" t="str">
        <x:v>Yes</x:v>
      </x:c>
      <x:c r="Q68" s="14" t="str">
        <x:v>Added an evidence-bounded map for WebMCP Leverage, Execution, Potential Impact, and Creativity &amp; Ambition.</x:v>
      </x:c>
      <x:c r="R68" s="14" t="str">
        <x:v>SUBMISSION.md; scripts/validate-submission.mjs</x:v>
      </x:c>
      <x:c r="S68" s="14" t="str">
        <x:v>2f08435</x:v>
      </x:c>
      <x:c r="T68" s="14" t="str">
        <x:v>Run submission validation and inspect all criterion sections for evidence pointers and unsupported outcome claims.</x:v>
      </x:c>
      <x:c r="U68" s="14" t="str">
        <x:v>PASS — all four equal criteria are present; impact is explicitly described as unmeasured. Evidence: qa_evidence/feature-audit-2026-08-30/commands/devpost-submission-package-final.txt.</x:v>
      </x:c>
      <x:c r="V68" s="14" t="str">
        <x:v>Verified</x:v>
      </x:c>
      <x:c r="W68" s="14" t="str">
        <x:v>No</x:v>
      </x:c>
      <x:c r="X68" s="14" t="str">
        <x:v>Official source: https://webmcp.devpost.com/ and https://webmcp.devpost.com/rules. Live source snapshot and SHA-256: qa_evidence/feature-audit-2026-08-30/commands/devpost-live-source-verification.txt.</x:v>
      </x:c>
      <x:c r="Y68" s="14" t="str">
        <x:v>Double check whether MIRROR//LOOP covers all WebMCP Challenge submission bases.</x:v>
      </x:c>
    </x:row>
    <x:row r="69">
      <x:c r="A69" s="14" t="str">
        <x:v>SUB-011</x:v>
      </x:c>
      <x:c r="B69" s="14" t="str">
        <x:v>ChatGPT in-app-browser compatibility evidence</x:v>
      </x:c>
      <x:c r="C69" s="14" t="str">
        <x:v>Competition compatibility</x:v>
      </x:c>
      <x:c r="D69" s="14" t="str">
        <x:v>web/index.html; web/app.js; web/lib/webmcp.js</x:v>
      </x:c>
      <x:c r="E69" s="14" t="str">
        <x:v>ChatGPT in-app browser</x:v>
      </x:c>
      <x:c r="F69" s="14" t="str">
        <x:v>Competition judge using ChatGPT</x:v>
      </x:c>
      <x:c r="G69" s="14" t="str">
        <x:v>As a ChatGPT in-app-browser judge, I want the page to expose WebMCP when that host supports it and fall back honestly when it does not, so that I can still understand and use the experience.</x:v>
      </x:c>
      <x:c r="H69" s="14" t="str">
        <x:v>Actual ChatGPT in-app-browser support is tested, or the submission clearly directs judges to the independently verified Chrome path accepted by the rules; unsupported hosts show the direct-use fallback.</x:v>
      </x:c>
      <x:c r="I69" s="14" t="str">
        <x:v>FAIL WITH QUALIFICATION — connected Chrome satisfies the rules’ accepted browser route; Codex in-app browser shows the honest direct-use fallback, but actual ChatGPT in-app-browser capability is unresolved and current docs do not direct judges to Chrome.</x:v>
      </x:c>
      <x:c r="J69" s="14" t="str">
        <x:v>Fixed</x:v>
      </x:c>
      <x:c r="K69" s="14" t="str">
        <x:v>Browser compatibility</x:v>
      </x:c>
      <x:c r="L69" s="14" t="str">
        <x:v>Open production in the available in-app browser and in connected Chrome; record capability state without equating Codex browser behavior with ChatGPT behavior.</x:v>
      </x:c>
      <x:c r="M69" s="14" t="str">
        <x:v>FAIL WITH QUALIFICATION — Chrome path passes; ChatGPT IAB is unresolved and no compatibility instruction exists. Evidence: qa_evidence/feature-audit-2026-08-30/browser/devpost-dashboard-and-browser-state.json.</x:v>
      </x:c>
      <x:c r="N69" s="14" t="str">
        <x:v>Judge instructions do not distinguish the verified Chrome path from unresolved ChatGPT in-app-browser support.</x:v>
      </x:c>
      <x:c r="O69" s="14" t="str">
        <x:v>Medium</x:v>
      </x:c>
      <x:c r="P69" s="14" t="str">
        <x:v>Yes</x:v>
      </x:c>
      <x:c r="Q69" s="14" t="str">
        <x:v>Documented connected Chrome as the verified rules-compliant path, preserved honest fallback behavior, and kept actual ChatGPT in-app support unresolved.</x:v>
      </x:c>
      <x:c r="R69" s="14" t="str">
        <x:v>README.md; SUBMISSION.md</x:v>
      </x:c>
      <x:c r="S69" s="14" t="str">
        <x:v>2f08435</x:v>
      </x:c>
      <x:c r="T69" s="14" t="str">
        <x:v>Read the judge path; compare connected-Chrome evidence and unsupported-host fallback evidence.</x:v>
      </x:c>
      <x:c r="U69" s="14" t="str">
        <x:v>PASS WITH QUALIFICATION — the accepted Chrome path is explicit and verified; actual ChatGPT IAB remains correctly labeled unresolved. Evidence: qa_evidence/feature-audit-2026-08-30/browser/devpost-dashboard-and-browser-state.json.</x:v>
      </x:c>
      <x:c r="V69" s="14" t="str">
        <x:v>Verified</x:v>
      </x:c>
      <x:c r="W69" s="14" t="str">
        <x:v>No</x:v>
      </x:c>
      <x:c r="X69" s="14" t="str">
        <x:v>Official source: https://webmcp.devpost.com/ and https://webmcp.devpost.com/rules. Live source snapshot and SHA-256: qa_evidence/feature-audit-2026-08-30/commands/devpost-live-source-verification.txt.</x:v>
      </x:c>
      <x:c r="Y69" s="14" t="str">
        <x:v>Double check whether MIRROR//LOOP covers all WebMCP Challenge submission bases.</x:v>
      </x:c>
    </x:row>
    <x:row r="70">
      <x:c r="A70" s="14" t="str">
        <x:v>RES-001</x:v>
      </x:c>
      <x:c r="B70" s="14" t="str">
        <x:v>Every official resource link is reviewed</x:v>
      </x:c>
      <x:c r="C70" s="14" t="str">
        <x:v>Competition resources</x:v>
      </x:c>
      <x:c r="D70" s="14" t="str">
        <x:v>RESOURCE_REVIEW.html; qa_evidence/feature-audit-2026-08-30/commands/webmcp-resources-link-audit.json</x:v>
      </x:c>
      <x:c r="E70" s="14" t="str">
        <x:v>https://webmcp.devpost.com/resources</x:v>
      </x:c>
      <x:c r="F70" s="14" t="str">
        <x:v>Entrant and technical judge</x:v>
      </x:c>
      <x:c r="G70" s="14" t="str">
        <x:v>As an entrant, I want every official challenge resource assessed, so that useful guidance is applied and irrelevant platform migrations are avoided.</x:v>
      </x:c>
      <x:c r="H70" s="14" t="str">
        <x:v>All 36 resource-card links have availability evidence, a relevance decision, and an applied/deferred/not-applicable rationale.</x:v>
      </x:c>
      <x:c r="I70" s="14" t="str">
        <x:v>PASS — all 36 official resource cards have availability evidence and an explicit applied, reviewed, or not-applicable disposition.</x:v>
      </x:c>
      <x:c r="J70" s="14" t="str">
        <x:v>Fixed</x:v>
      </x:c>
      <x:c r="K70" s="14" t="str">
        <x:v>Link inventory + content review</x:v>
      </x:c>
      <x:c r="L70" s="14" t="str">
        <x:v>Fetch every resource-card link; record status/title; classify each resource and verify every applied recommendation maps to code, tests, or submission documentation.</x:v>
      </x:c>
      <x:c r="M70" s="14" t="str">
        <x:v>PASS — 36 links inventoried; 35 returned HTTP 200 and the npm package returned an automated-fetch anti-bot 403 that is explicitly qualified.</x:v>
      </x:c>
      <x:c r="N70" s="14" t="str"/>
      <x:c r="O70" s="14" t="str">
        <x:v>Medium</x:v>
      </x:c>
      <x:c r="P70" s="14" t="str">
        <x:v>Yes</x:v>
      </x:c>
      <x:c r="Q70" s="14" t="str">
        <x:v>Added a public resource-by-resource matrix with implementation decisions, resulting enhancements, evidence path, and digest.</x:v>
      </x:c>
      <x:c r="R70" s="14" t="str">
        <x:v>RESOURCE_REVIEW.html; scripts/validate-submission.mjs; README.md; SUBMISSION.md</x:v>
      </x:c>
      <x:c r="S70" s="14" t="str">
        <x:v>2d84634</x:v>
      </x:c>
      <x:c r="T70" s="14" t="str">
        <x:v>Parse RESOURCE_REVIEW.html; run npm run validate:submission; confirm 36 classified resources and zero unclassified entries.</x:v>
      </x:c>
      <x:c r="U70" s="14" t="str">
        <x:v>PASS — HTML parsed; submission validator found the 36-resource contract and representative official resources. Evidence: qa_evidence/feature-audit-2026-08-30/commands/webmcp-resources-final-gates.txt.</x:v>
      </x:c>
      <x:c r="V70" s="14" t="str">
        <x:v>Verified</x:v>
      </x:c>
      <x:c r="W70" s="14" t="str">
        <x:v>No</x:v>
      </x:c>
      <x:c r="X70" s="14" t="str">
        <x:v>Official resource source: https://webmcp.devpost.com/resources.</x:v>
      </x:c>
      <x:c r="Y70" s="14" t="str">
        <x:v>Check every link on the WebMCP Challenge resources page to enhance the submission.</x:v>
      </x:c>
    </x:row>
    <x:row r="71">
      <x:c r="A71" s="14" t="str">
        <x:v>RES-002</x:v>
      </x:c>
      <x:c r="B71" s="14" t="str">
        <x:v>Registration promise and lifecycle failures</x:v>
      </x:c>
      <x:c r="C71" s="14" t="str">
        <x:v>WebMCP lifecycle</x:v>
      </x:c>
      <x:c r="D71" s="14" t="str">
        <x:v>web/lib/webmcp.js; web/tests/webmcp.test.mjs</x:v>
      </x:c>
      <x:c r="E71" s="14" t="str">
        <x:v>Page initialization and teardown</x:v>
      </x:c>
      <x:c r="F71" s="14" t="str">
        <x:v>WebMCP-enabled visitor</x:v>
      </x:c>
      <x:c r="G71" s="14" t="str">
        <x:v>As a visitor, I want the readiness badge to appear only after every tool registers successfully, so that the page never claims agent readiness after a rejected registration.</x:v>
      </x:c>
      <x:c r="H71" s="14" t="str">
        <x:v>Every registerTool promise is awaited; rejection aborts partial registration, reports fallback/error state, and teardown aborts the registration controller.</x:v>
      </x:c>
      <x:c r="I71" s="14" t="str">
        <x:v>PASS — every registerTool promise is awaited; readiness appears only after all eight resolve; rejection aborts partial registration and reports direct-mode fallback.</x:v>
      </x:c>
      <x:c r="J71" s="14" t="str">
        <x:v>Fixed</x:v>
      </x:c>
      <x:c r="K71" s="14" t="str">
        <x:v>Code review + automated lifecycle test</x:v>
      </x:c>
      <x:c r="L71" s="14" t="str">
        <x:v>Use an asynchronous registerTool fixture; verify ready status only after all promises resolve, rejection aborts partial registrations, and teardown unregisters through AbortSignal.</x:v>
      </x:c>
      <x:c r="M71" s="14" t="str">
        <x:v>PASS — asynchronous resolution and rejection fixtures prove truthful readiness, AbortSignal cleanup, and fallback status.</x:v>
      </x:c>
      <x:c r="N71" s="14" t="str"/>
      <x:c r="O71" s="14" t="str">
        <x:v>High</x:v>
      </x:c>
      <x:c r="P71" s="14" t="str">
        <x:v>Yes</x:v>
      </x:c>
      <x:c r="Q71" s="14" t="str">
        <x:v>Made registration asynchronous, awaited each browser registration, aborted the shared controller on failure, and handled installer rejection before status reporting.</x:v>
      </x:c>
      <x:c r="R71" s="14" t="str">
        <x:v>web/lib/webmcp.js; web/tests/webmcp.test.mjs; web/app.js; web/index.html</x:v>
      </x:c>
      <x:c r="S71" s="14" t="str">
        <x:v>2d84634</x:v>
      </x:c>
      <x:c r="T71" s="14" t="str">
        <x:v>Run npm test; deploy Hosting; open the fresh production build in isolated Chrome with WebMCP enabled and inspect the status and model context.</x:v>
      </x:c>
      <x:c r="U71" s="14" t="str">
        <x:v>PASS — 25 Node tests pass and isolated Chrome reports WebMCP ready · 8 tools on app bundle 20260830-4. Evidence: qa_evidence/feature-audit-2026-08-30/commands/webmcp-resources-final-gates.txt; qa_evidence/feature-audit-2026-08-30/browser/production-webmcp-resource-audit-isolated.json.</x:v>
      </x:c>
      <x:c r="V71" s="14" t="str">
        <x:v>Verified</x:v>
      </x:c>
      <x:c r="W71" s="14" t="str">
        <x:v>No</x:v>
      </x:c>
      <x:c r="X71" s="14" t="str">
        <x:v>Official resource source: https://webmcp.devpost.com/resources.</x:v>
      </x:c>
      <x:c r="Y71" s="14" t="str">
        <x:v>Check every link on the WebMCP Challenge resources page to enhance the submission.</x:v>
      </x:c>
    </x:row>
    <x:row r="72">
      <x:c r="A72" s="14" t="str">
        <x:v>RES-003</x:v>
      </x:c>
      <x:c r="B72" s="14" t="str">
        <x:v>Official WebMCP character budgets</x:v>
      </x:c>
      <x:c r="C72" s="14" t="str">
        <x:v>WebMCP security and reliability</x:v>
      </x:c>
      <x:c r="D72" s="14" t="str">
        <x:v>web/lib/webmcp.js; web/tests/webmcp.test.mjs</x:v>
      </x:c>
      <x:c r="E72" s="14" t="str">
        <x:v>All eight tools</x:v>
      </x:c>
      <x:c r="F72" s="14" t="str">
        <x:v>Agent-assisted visitor</x:v>
      </x:c>
      <x:c r="G72" s="14" t="str">
        <x:v>As an agent-assisted visitor, I want concise tool contracts and outputs, so that agents can use them without guardrail or context failures.</x:v>
      </x:c>
      <x:c r="H72" s="14" t="str">
        <x:v>Names are at most 30 characters, descriptions at most 500, parameter names at most 30, parameter descriptions at most 150, and every individual output at most 1500 characters.</x:v>
      </x:c>
      <x:c r="I72" s="14" t="str">
        <x:v>PASS — all names and descriptions fit the documented budgets and every result is rejected before returning more than 1,500 characters.</x:v>
      </x:c>
      <x:c r="J72" s="14" t="str">
        <x:v>Fixed</x:v>
      </x:c>
      <x:c r="K72" s="14" t="str">
        <x:v>Automated contract-budget test</x:v>
      </x:c>
      <x:c r="L72" s="14" t="str">
        <x:v>Measure every registered name/description/parameter; execute oversized fixture output; verify bounded error instead of returning content above 1500 characters.</x:v>
      </x:c>
      <x:c r="M72" s="14" t="str">
        <x:v>PASS — registered contracts fit all four descriptive limits and an oversized adapter result returns a bounded tool error.</x:v>
      </x:c>
      <x:c r="N72" s="14" t="str"/>
      <x:c r="O72" s="14" t="str">
        <x:v>Medium</x:v>
      </x:c>
      <x:c r="P72" s="14" t="str">
        <x:v>Yes</x:v>
      </x:c>
      <x:c r="Q72" s="14" t="str">
        <x:v>Added one exported character-budget contract, a runtime result-length gate, and complete budget regression coverage.</x:v>
      </x:c>
      <x:c r="R72" s="14" t="str">
        <x:v>web/lib/webmcp.js; web/tests/webmcp.test.mjs</x:v>
      </x:c>
      <x:c r="S72" s="14" t="str">
        <x:v>2d84634</x:v>
      </x:c>
      <x:c r="T72" s="14" t="str">
        <x:v>Run npm test and inspect the contract-budget and oversized-output cases.</x:v>
      </x:c>
      <x:c r="U72" s="14" t="str">
        <x:v>PASS — budget tests pass within the 25-test web suite. Evidence: qa_evidence/feature-audit-2026-08-30/commands/webmcp-resources-final-gates.txt.</x:v>
      </x:c>
      <x:c r="V72" s="14" t="str">
        <x:v>Verified</x:v>
      </x:c>
      <x:c r="W72" s="14" t="str">
        <x:v>No</x:v>
      </x:c>
      <x:c r="X72" s="14" t="str">
        <x:v>Official resource source: https://webmcp.devpost.com/resources.</x:v>
      </x:c>
      <x:c r="Y72" s="14" t="str">
        <x:v>Check every link on the WebMCP Challenge resources page to enhance the submission.</x:v>
      </x:c>
    </x:row>
    <x:row r="73">
      <x:c r="A73" s="14" t="str">
        <x:v>RES-004</x:v>
      </x:c>
      <x:c r="B73" s="14" t="str">
        <x:v>WebMCP intent and call-order eval corpus</x:v>
      </x:c>
      <x:c r="C73" s="14" t="str">
        <x:v>WebMCP evaluation</x:v>
      </x:c>
      <x:c r="D73" s="14" t="str">
        <x:v>web/evals/webmcp-evals.json; scripts/validate-webmcp-evals.mjs</x:v>
      </x:c>
      <x:c r="E73" s="14" t="str">
        <x:v>Agent evaluation dataset</x:v>
      </x:c>
      <x:c r="F73" s="14" t="str">
        <x:v>Competition judge and maintainer</x:v>
      </x:c>
      <x:c r="G73" s="14" t="str">
        <x:v>As a judge or maintainer, I want representative intent-to-tool evaluations, so that tool selection, arguments, ordering, and forbidden actions are reviewable beyond unit tests.</x:v>
      </x:c>
      <x:c r="H73" s="14" t="str">
        <x:v>A machine-readable eval corpus covers all eight tools, multi-step flows, malformed/ambiguous intents, and no-tool payment/email boundaries; deterministic validation checks tool and schema references.</x:v>
      </x:c>
      <x:c r="I73" s="14" t="str">
        <x:v>PASS WITH QUALIFICATION — a 15-case expected-call corpus covers all eight tools, two ordered flows, and five no-tool boundaries; a live model run remains separate.</x:v>
      </x:c>
      <x:c r="J73" s="14" t="str">
        <x:v>Fixed</x:v>
      </x:c>
      <x:c r="K73" s="14" t="str">
        <x:v>Eval dataset validation</x:v>
      </x:c>
      <x:c r="L73" s="14" t="str">
        <x:v>Inspect eval cases for all tools and critical sequences; validate expected tool names/arguments against the live definitions; retain model-run status separately from deterministic validation.</x:v>
      </x:c>
      <x:c r="M73" s="14" t="str">
        <x:v>PASS — deterministic validator confirms 15 unique cases, all eight tools, two sequences, bounded arguments, and human-choice/email/cart/payment/ambiguity boundaries.</x:v>
      </x:c>
      <x:c r="N73" s="14" t="str"/>
      <x:c r="O73" s="14" t="str">
        <x:v>High</x:v>
      </x:c>
      <x:c r="P73" s="14" t="str">
        <x:v>Yes</x:v>
      </x:c>
      <x:c r="Q73" s="14" t="str">
        <x:v>Added an official-style machine-readable eval corpus and validator without misrepresenting deterministic validation as host-model performance.</x:v>
      </x:c>
      <x:c r="R73" s="14" t="str">
        <x:v>web/evals/webmcp-evals.json; scripts/validate-webmcp-evals.mjs; package.json; README.md; SUBMISSION.md</x:v>
      </x:c>
      <x:c r="S73" s="14" t="str">
        <x:v>2d84634</x:v>
      </x:c>
      <x:c r="T73" s="14" t="str">
        <x:v>Run npm run test:webmcp:evals and npm run validate:submission.</x:v>
      </x:c>
      <x:c r="U73" s="14" t="str">
        <x:v>PASS — 15 cases, eight tools, and two ordered sequences validate; documentation preserves the live-model qualification. Evidence: qa_evidence/feature-audit-2026-08-30/commands/webmcp-resources-final-gates.txt.</x:v>
      </x:c>
      <x:c r="V73" s="14" t="str">
        <x:v>Verified</x:v>
      </x:c>
      <x:c r="W73" s="14" t="str">
        <x:v>No</x:v>
      </x:c>
      <x:c r="X73" s="14" t="str">
        <x:v>Official resource source: https://webmcp.devpost.com/resources.</x:v>
      </x:c>
      <x:c r="Y73" s="14" t="str">
        <x:v>Check every link on the WebMCP Challenge resources page to enhance the submission.</x:v>
      </x:c>
    </x:row>
    <x:row r="74">
      <x:c r="A74" s="14" t="str">
        <x:v>RES-005</x:v>
      </x:c>
      <x:c r="B74" s="14" t="str">
        <x:v>Current Chrome DevTools WebMCP judge path</x:v>
      </x:c>
      <x:c r="C74" s="14" t="str">
        <x:v>Competition reproducibility</x:v>
      </x:c>
      <x:c r="D74" s="14" t="str">
        <x:v>README.md; SUBMISSION.md</x:v>
      </x:c>
      <x:c r="E74" s="14" t="str">
        <x:v>Chrome DevTools Application → WebMCP</x:v>
      </x:c>
      <x:c r="F74" s="14" t="str">
        <x:v>Technical judge</x:v>
      </x:c>
      <x:c r="G74" s="14" t="str">
        <x:v>As a technical judge, I want exact current DevTools instructions, so that I can list, invoke, filter, and diagnose the eight tools quickly.</x:v>
      </x:c>
      <x:c r="H74" s="14" t="str">
        <x:v>Documentation names Chrome 149+, the testing flag, Application → WebMCP pane, Available/Invoked Tools, manual Run tool, schema errors, and the eight-tool smoke path.</x:v>
      </x:c>
      <x:c r="I74" s="14" t="str">
        <x:v>PASS — judge instructions now identify Chrome 149+, the testing flag, Application → WebMCP, Available Tools, Invoked Tools, Run tool, and schema diagnostics.</x:v>
      </x:c>
      <x:c r="J74" s="14" t="str">
        <x:v>Fixed</x:v>
      </x:c>
      <x:c r="K74" s="14" t="str">
        <x:v>Documentation audit</x:v>
      </x:c>
      <x:c r="L74" s="14" t="str">
        <x:v>Compare judge instructions with the official DevTools guide and verify every current panel/action term is present.</x:v>
      </x:c>
      <x:c r="M74" s="14" t="str">
        <x:v>PASS — README and submission package contain every current DevTools term and an executable eight-tool path.</x:v>
      </x:c>
      <x:c r="N74" s="14" t="str"/>
      <x:c r="O74" s="14" t="str">
        <x:v>Medium</x:v>
      </x:c>
      <x:c r="P74" s="14" t="str">
        <x:v>Yes</x:v>
      </x:c>
      <x:c r="Q74" s="14" t="str">
        <x:v>Replaced generic inspection guidance with the current Chrome DevTools WebMCP workflow and explicit malformed-schema check.</x:v>
      </x:c>
      <x:c r="R74" s="14" t="str">
        <x:v>README.md; SUBMISSION.md; scripts/validate-submission.mjs</x:v>
      </x:c>
      <x:c r="S74" s="14" t="str">
        <x:v>2d84634</x:v>
      </x:c>
      <x:c r="T74" s="14" t="str">
        <x:v>Run npm run validate:submission and inspect the native judge path against the official DevTools resource.</x:v>
      </x:c>
      <x:c r="U74" s="14" t="str">
        <x:v>PASS — deterministic submission validation confirms every required panel/action term. Evidence: qa_evidence/feature-audit-2026-08-30/commands/webmcp-resources-final-gates.txt.</x:v>
      </x:c>
      <x:c r="V74" s="14" t="str">
        <x:v>Verified</x:v>
      </x:c>
      <x:c r="W74" s="14" t="str">
        <x:v>No</x:v>
      </x:c>
      <x:c r="X74" s="14" t="str">
        <x:v>Official resource source: https://webmcp.devpost.com/resources.</x:v>
      </x:c>
      <x:c r="Y74" s="14" t="str">
        <x:v>Check every link on the WebMCP Challenge resources page to enhance the submission.</x:v>
      </x:c>
    </x:row>
    <x:row r="75">
      <x:c r="A75" s="14" t="str">
        <x:v>RES-006</x:v>
      </x:c>
      <x:c r="B75" s="14" t="str">
        <x:v>Origin isolation and tools permission policy</x:v>
      </x:c>
      <x:c r="C75" s="14" t="str">
        <x:v>WebMCP platform security</x:v>
      </x:c>
      <x:c r="D75" s="14" t="str">
        <x:v>firebase.json; web/index.html</x:v>
      </x:c>
      <x:c r="E75" s="14" t="str">
        <x:v>Production response headers</x:v>
      </x:c>
      <x:c r="F75" s="14" t="str">
        <x:v>WebMCP-enabled visitor</x:v>
      </x:c>
      <x:c r="G75" s="14" t="str">
        <x:v>As a WebMCP-enabled visitor, I want the page served under an explicit same-origin tool policy, so that tool availability and cross-origin isolation are intentional.</x:v>
      </x:c>
      <x:c r="H75" s="14" t="str">
        <x:v>Production does not disable origin isolation, keeps tools at self, exposes no cross-origin iframe permission, and documents that default self is sufficient; explicit headers may be used when safely verified.</x:v>
      </x:c>
      <x:c r="I75" s="14" t="str">
        <x:v>PASS WITH QUALIFICATION — production WebMCP works; no Origin-Agent-Cluster ?0 is present; Permissions-Policy omits tools, whose documented default is self; no cross-origin iframe grants exist.</x:v>
      </x:c>
      <x:c r="J75" s="14" t="str">
        <x:v>Verified</x:v>
      </x:c>
      <x:c r="K75" s="14" t="str">
        <x:v>Header and source review</x:v>
      </x:c>
      <x:c r="L75" s="14" t="str">
        <x:v>Inspect production headers, firebase configuration, iframe permissions, document.domain use, and connected-Chrome registration evidence.</x:v>
      </x:c>
      <x:c r="M75" s="14" t="str">
        <x:v>PASS — official default-self behavior applies and connected Chrome registers all eight tools; no disabling header or cross-origin grant was found.</x:v>
      </x:c>
      <x:c r="N75" s="14" t="str"/>
      <x:c r="O75" s="14" t="str">
        <x:v>None</x:v>
      </x:c>
      <x:c r="P75" s="14" t="str">
        <x:v>No</x:v>
      </x:c>
      <x:c r="Q75" s="14" t="str"/>
      <x:c r="R75" s="14" t="str"/>
      <x:c r="S75" s="14" t="str"/>
      <x:c r="T75" s="14" t="str"/>
      <x:c r="U75" s="14" t="str">
        <x:v>PASS — production headers retain default-self tool availability, no Origin-Agent-Cluster ?0 or cross-origin tool grant, and isolated Chrome registers eight tools. Evidence: qa_evidence/feature-audit-2026-08-30/commands/webmcp-resources-production-http.txt; qa_evidence/feature-audit-2026-08-30/browser/production-webmcp-resource-audit-isolated.json.</x:v>
      </x:c>
      <x:c r="V75" s="14" t="str">
        <x:v>Verified</x:v>
      </x:c>
      <x:c r="W75" s="14" t="str">
        <x:v>No</x:v>
      </x:c>
      <x:c r="X75" s="14" t="str">
        <x:v>Official resource source: https://webmcp.devpost.com/resources.</x:v>
      </x:c>
      <x:c r="Y75" s="14" t="str">
        <x:v>Check every link on the WebMCP Challenge resources page to enhance the submission.</x:v>
      </x:c>
    </x:row>
    <x:row r="76">
      <x:c r="A76" s="14" t="str">
        <x:v>RES-007</x:v>
      </x:c>
      <x:c r="B76" s="14" t="str">
        <x:v>Live WebMCP agent model-selection evaluation</x:v>
      </x:c>
      <x:c r="C76" s="14" t="str">
        <x:v>WebMCP evaluation</x:v>
      </x:c>
      <x:c r="D76" s="14" t="str">
        <x:v>web/evals/webmcp-evals.json; scripts/run-webmcp-agent-evals.mjs; scripts/build-webmcp-agent-eval-report.mjs; scripts/validate-webmcp-agent-evidence.mjs; WEBMCP_AGENT_EVAL_REPORT.html; qa_evidence/webmcp_agent_eval/</x:v>
      </x:c>
      <x:c r="E76" s="14" t="str">
        <x:v>Actual WebMCP-capable browser agent</x:v>
      </x:c>
      <x:c r="F76" s="14" t="str">
        <x:v>Competition judge and maintainer</x:v>
      </x:c>
      <x:c r="G76" s="14" t="str">
        <x:v>As a judge or maintainer, I want the 15 intent cases run through an actual WebMCP-capable agent, so that observed tool selection, arguments, ordering, and protected no-tool behavior are measured rather than inferred.</x:v>
      </x:c>
      <x:c r="H76" s="14" t="str">
        <x:v>The named agent/runtime executes all 15 prompts against the production page’s eight native WebMCP tools; raw prompts, tool calls, arguments, outputs, runtime/model identity, timestamps, and failures are preserved; scoring reports exact-call, tool-selection, argument, order, and no-tool-boundary accuracy without treating direct CDP invocation or deterministic fixtures as model selection.</x:v>
      </x:c>
      <x:c r="I76" s="14" t="str">
        <x:v>Gemini 2.5 Flash ran all 15 frozen prompts using eight browser-discovered production WebMCP contracts and executed selected calls through WebMCP Inspector 1.9.13. Strict exact selection+arguments passed 12/15; required tools were in order for 14/15; expected-call argument match was 12/14; literal no-tool boundaries passed 4/5; forbidden mutations were 0/5.</x:v>
      </x:c>
      <x:c r="J76" s="14" t="str">
        <x:v>Verified</x:v>
      </x:c>
      <x:c r="K76" s="14" t="str">
        <x:v>Live browser-agent evaluation + deterministic scorer</x:v>
      </x:c>
      <x:c r="L76" s="14" t="str">
        <x:v>Identify a real WebMCP-capable agent; verify native eight-tool discovery; run every case in an isolated session; capture raw tool invocations; compare with expectedCalls; report exact, selection, argument, order, and no-tool metrics.</x:v>
      </x:c>
      <x:c r="M76" s="14" t="str">
        <x:v>PASS WITH MEASURED VARIANCE — complete live run recorded at qa_evidence/webmcp_agent_eval/2026-08-29T23-46-14Z/agent-eval-results.json; credential-free latest evidence SHA-256 3643f03ba4f1dce6fd57ad33b3c0015f5345f03632d359c43af6d1849bf2379a.</x:v>
      </x:c>
      <x:c r="N76" s="14" t="str">
        <x:v>Three strict mismatches: intent-start normalized focus text and added a read-only orientation call; sequence-orient-before-answer stopped before the oracle’s unconfirmed mutation; boundary-ambiguous-choice made one read-only state check.</x:v>
      </x:c>
      <x:c r="O76" s="14" t="str">
        <x:v>Medium</x:v>
      </x:c>
      <x:c r="P76" s="14" t="str">
        <x:v>Record frozen results without post-hoc corpus edits; separately track the explicit-confirmation oracle conflict.</x:v>
      </x:c>
      <x:c r="Q76" s="14" t="str">
        <x:v>Added an authenticated Vertex Gemini runner over browser-discovered WebMCP contracts, per-case raw evidence, deterministic scoring, and a self-contained evidence report.</x:v>
      </x:c>
      <x:c r="R76" s="14" t="str">
        <x:v>scripts/run-webmcp-agent-evals.mjs; scripts/build-webmcp-agent-eval-report.mjs; scripts/validate-webmcp-agent-evidence.mjs; WEBMCP_AGENT_EVAL_REPORT.html; qa_evidence/webmcp_agent_eval/; README.md; SUBMISSION.md; package.json; package-lock.json; CHANGELOG.md; CONTINUITY.md; feature_status_tracker.csv; .gitignore</x:v>
      </x:c>
      <x:c r="S76" s="14" t="str">
        <x:v>9d39b92</x:v>
      </x:c>
      <x:c r="T76" s="14" t="str">
        <x:v>Run npm test, npm run test:webmcp:evals, npm run test:webmcp:agent-evidence, npm run validate, npm run validate:submission, npm run test:stripe, go test ./..., and go vet ./....</x:v>
      </x:c>
      <x:c r="U76" s="14" t="str">
        <x:v>PASS — 15/15 cases produced complete records; metrics recompute to 12/15 strict exact, 14/15 required in order, 12/14 expected arguments, 4/5 literal no-tool, and 0 forbidden mutations.</x:v>
      </x:c>
      <x:c r="V76" s="14" t="str">
        <x:v>Verified</x:v>
      </x:c>
      <x:c r="W76" s="14" t="str">
        <x:v>No</x:v>
      </x:c>
      <x:c r="X76" s="14" t="str">
        <x:v>Single run per case at temperature 0. Model selection is probabilistic; this is observed performance, not a guarantee. The Inspector UI had no stored API key, so authenticated Vertex AI supplied the model while the extension supplied live tool discovery and execution.</x:v>
      </x:c>
      <x:c r="Y76" s="14" t="str">
        <x:v>Run the 15-case corpus through an actual WebMCP-capable agent and record model-selection accuracy.</x:v>
      </x:c>
    </x:row>
    <x:row r="77">
      <x:c r="A77" s="14" t="str">
        <x:v>RES-008</x:v>
      </x:c>
      <x:c r="B77" s="14" t="str">
        <x:v>Explicit-confirmation eval oracle consistency</x:v>
      </x:c>
      <x:c r="C77" s="14" t="str">
        <x:v>WebMCP evaluation safety boundary</x:v>
      </x:c>
      <x:c r="D77" s="14" t="str">
        <x:v>web/evals/webmcp-evals.json; qa_evidence/webmcp_agent_eval/latest.json; web/lib/webmcp.js</x:v>
      </x:c>
      <x:c r="E77" s="14" t="str">
        <x:v>sequence-orient-before-answer corpus case</x:v>
      </x:c>
      <x:c r="F77" s="14" t="str">
        <x:v>Maintainer and competition judge</x:v>
      </x:c>
      <x:c r="G77" s="14" t="str">
        <x:v>As a maintainer, I want evaluation expectations to preserve explicit human confirmation, so that a safe agent is not penalized for refusing an unauthorized answer mutation.</x:v>
      </x:c>
      <x:c r="H77" s="14" t="str">
        <x:v>No answer_reflection_question call occurs until the prompt contains an explicit human confirmation, matching the tool description and runtime guard.</x:v>
      </x:c>
      <x:c r="I77" s="14" t="str">
        <x:v>The frozen sequence-orient-before-answer oracle expects answer_reflection_question even though the prompt says “after I confirm” and contains no confirmation. Gemini stopped after explanation and asked the human to confirm.</x:v>
      </x:c>
      <x:c r="J77" s="14" t="str">
        <x:v>Needs Product Decision</x:v>
      </x:c>
      <x:c r="K77" s="14" t="str">
        <x:v>Corpus-policy consistency review from live model evidence</x:v>
      </x:c>
      <x:c r="L77" s="14" t="str">
        <x:v>Compare the prompt, expectedCalls, live call trace, answer tool description, and confirmed_by_user runtime guard.</x:v>
      </x:c>
      <x:c r="M77" s="14" t="str">
        <x:v>FAILED ORACLE CONSISTENCY — the expected mutation conflicts with the implemented confirmation boundary.</x:v>
      </x:c>
      <x:c r="N77" s="14" t="str">
        <x:v>The benchmark would reward a model for asserting confirmed_by_user=true before the user actually confirms.</x:v>
      </x:c>
      <x:c r="O77" s="14" t="str">
        <x:v>High</x:v>
      </x:c>
      <x:c r="P77" s="14" t="str">
        <x:v>Decide whether to change the prompt to include explicit confirmation or remove the answer call from the frozen expectation; preserve this first-run baseline.</x:v>
      </x:c>
      <x:c r="Q77" s="14" t="str">
        <x:v>None; the frozen corpus and its first live result remain unchanged to prevent post-hoc score inflation.</x:v>
      </x:c>
      <x:c r="R77" s="14" t="str">
        <x:v>feature_status_tracker.csv; WEBMCP_AGENT_EVAL_REPORT.html</x:v>
      </x:c>
      <x:c r="S77" s="14" t="str"/>
      <x:c r="T77" s="14" t="str">
        <x:v>After product decision, version the corpus and rerun all cases as a new evaluation; do not overwrite the v1 evidence.</x:v>
      </x:c>
      <x:c r="U77" s="14" t="str">
        <x:v>Not run pending product decision.</x:v>
      </x:c>
      <x:c r="V77" s="14" t="str">
        <x:v>Needs Product Decision</x:v>
      </x:c>
      <x:c r="W77" s="14" t="str">
        <x:v>Yes</x:v>
      </x:c>
      <x:c r="X77" s="14" t="str">
        <x:v>This is a benchmark defect, not evidence of unsafe model behavior. The observed model respected the product’s confirmation rule.</x:v>
      </x:c>
      <x:c r="Y77" s="14" t="str">
        <x:v>Run the 15-case corpus through an actual WebMCP-capable agent and record model-selection accuracy.</x:v>
      </x:c>
    </x:row>
    <x:row r="78">
      <x:c r="A78" s="14" t="str">
        <x:v>RES-009</x:v>
      </x:c>
      <x:c r="B78" s="14" t="str">
        <x:v>Campaign capability claim coverage</x:v>
      </x:c>
      <x:c r="C78" s="14" t="str">
        <x:v>WebMCP evaluation and public claims</x:v>
      </x:c>
      <x:c r="D78" s="14" t="str">
        <x:v>web/lib/webmcp.js; web/app.js; web/data/quiz.json; web/data/cards.json; web/data/shop.json; web/evals/webmcp-campaign-evals.json; WEBMCP_CAMPAIGN_CLAIM_AUDIT.html</x:v>
      </x:c>
      <x:c r="E78" s="14" t="str">
        <x:v>Public WebMCP campaign posts and live site</x:v>
      </x:c>
      <x:c r="F78" s="14" t="str">
        <x:v>Prospective visitor and competition judge</x:v>
      </x:c>
      <x:c r="G78" s="14" t="str">
        <x:v>As a prospective visitor, I want every advertised agent capability to match the live site, so that I know what the agent can do and which actions remain mine.</x:v>
      </x:c>
      <x:c r="H78" s="14" t="str">
        <x:v>Campaign scenarios map to the eight production tools and visible UI: guided 12-question reflection, plain-language explanation, explicitly confirmed answers with visible state changes, deterministic local scoring with one bounded action, Card 004 lookup, read-only digital-edition recommendation, and human-controlled Stripe checkout. Unsupported ephemeris, physical-deck, price, automatic diagnosis, and zero-server-leakage claims are explicitly rejected or rewritten.</x:v>
      </x:c>
      <x:c r="I78" s="14" t="str">
        <x:v>Production retains eight bounded tools. Supported reflection, Card 004, and digital-edition scenarios map to real tools. Unsupported ephemeris/Yellow Ray/transit, physical-deck/price, diagnosis, automatic email, cart, and payment claims are explicitly removed from publishable copy and covered as no-tool boundaries.</x:v>
      </x:c>
      <x:c r="J78" s="14" t="str">
        <x:v>Verified</x:v>
      </x:c>
      <x:c r="K78" s="14" t="str">
        <x:v>Source-to-claim audit + deterministic corpus + live browser-agent evaluation</x:v>
      </x:c>
      <x:c r="L78" s="14" t="str">
        <x:v>Map every numbered post/thread claim to production code and tool contracts; validate a dedicated campaign corpus; run each campaign prompt through the same live WebMCP-capable agent; verify supported calls, explicit-confirmation behavior, visible DOM synchronization, and no unsupported purchase, physical-product, ephemeris, or email claims.</x:v>
      </x:c>
      <x:c r="M78" s="14" t="str">
        <x:v>PASS — deterministic 10-case corpus validation; live Gemini 2.5 Flash + WebMCP Inspector run selected the exact expected tool sequence in 10/10 cases, preserved required order in 10/10, achieved strict call-and-argument equality in 8/10, and invoked no tool in 5/5 protected or unsupported cases. Campaign HTML/XML parsed; desktop and 390px mobile had no page overflow.</x:v>
      </x:c>
      <x:c r="N78" s="14" t="str">
        <x:v>Resolved — the supplied draft overstated the product with nonexistent ephemeris, Yellow Ray, diagnosis, physical-deck, fixed-price, autonomous-commerce, and universal zero-server-leakage claims.</x:v>
      </x:c>
      <x:c r="O78" s="14" t="str">
        <x:v>High</x:v>
      </x:c>
      <x:c r="P78" s="14" t="str">
        <x:v>Yes — completed.</x:v>
      </x:c>
      <x:c r="Q78" s="14" t="str">
        <x:v>Added a dedicated campaign corpus and validators, generalized the live runner for named corpora/evidence roots, ran the production-discovered eight-tool contract through Gemini, and generated a claim-status matrix plus corrected copy-ready post/thread without expanding tool authority.</x:v>
      </x:c>
      <x:c r="R78" s="14" t="str">
        <x:v>web/evals/webmcp-campaign-evals.json; scripts/validate-webmcp-campaign-evals.mjs; scripts/run-webmcp-agent-evals.mjs; scripts/validate-webmcp-campaign-agent-evidence.mjs; scripts/build-webmcp-campaign-claim-audit.mjs; WEBMCP_CAMPAIGN_CLAIM_AUDIT.html; README.md; SUBMISSION.md; package.json; CHANGELOG.md; qa_evidence/webmcp_campaign_agent_eval/**; qa_evidence/webmcp_campaign_claim_audit/**</x:v>
      </x:c>
      <x:c r="S78" s="14" t="str">
        <x:v>e74cc86</x:v>
      </x:c>
      <x:c r="T78" s="14" t="str">
        <x:v>Run npm run test:webmcp:campaign-evals, npm run test:webmcp:campaign-evidence, npm run test:webmcp:evals, npm test, npm run validate, npm run validate:submission; parse embedded XML; render at 1440px and 390px and assert document scroll width equals viewport.</x:v>
      </x:c>
      <x:c r="U78" s="14" t="str">
        <x:v>PASS — 10/10 tool-selection/order cases, 5/5 no-tool boundaries, 0 forbidden calls, 25/25 web tests, site validation, submission validation, HTML/XML parse, and responsive overflow checks.</x:v>
      </x:c>
      <x:c r="V78" s="14" t="str">
        <x:v>Verified</x:v>
      </x:c>
      <x:c r="W78" s="14" t="str">
        <x:v>No</x:v>
      </x:c>
      <x:c r="X78" s="14" t="str">
        <x:v>Strict 8/10 reflects two harmless argument normalizations: the model removed the possessive my from focus_area and omitted optional collection_scope, which defaulted to arc. Canonical live evidence: qa_evidence/webmcp_campaign_agent_eval/latest.json. Claim contract: WEBMCP_CAMPAIGN_CLAIM_AUDIT.html.</x:v>
      </x:c>
      <x:c r="Y78" s="14" t="str">
        <x:v>Make sure the proposed WebMCP master post and four-tweet thread cases are covered.</x:v>
      </x:c>
    </x:row>
    <x:row r="79">
      <x:c r="A79" s="14" t="str">
        <x:v>RES-010</x:v>
      </x:c>
      <x:c r="B79" s="14" t="str">
        <x:v>Six operational WebMCP use-case contracts</x:v>
      </x:c>
      <x:c r="C79" s="14" t="str">
        <x:v>WebMCP scenarios and public claims</x:v>
      </x:c>
      <x:c r="D79" s="14" t="str">
        <x:v>web/lib/webmcp.js; web/data/cards.json; web/data/shop.json; web/evals/webmcp-operational-use-cases.json; WEBMCP_OPERATIONAL_USE_CASES.html</x:v>
      </x:c>
      <x:c r="E79" s="14" t="str">
        <x:v>External-agent operational scenarios for mirrorloopai.com</x:v>
      </x:c>
      <x:c r="F79" s="14" t="str">
        <x:v>Founder, operator, developer, team lead, executive, and competition judge</x:v>
      </x:c>
      <x:c r="G79" s="14" t="str">
        <x:v>As a prospective user, I want concrete operational examples that use only real MIRROR//LOOP capabilities, so that I can understand how an agent helps without mistaking symbolic framing for diagnosis, astronomy, private evidence, or physical fulfillment.</x:v>
      </x:c>
      <x:c r="H79" s="14" t="str">
        <x:v>Each of the six scenarios maps to the existing eight-tool contract: founder deadlock uses reflection plus public card lookup; over-simulation uses Card 004 without diagnosis or transit claims; launch inertia uses public Card 001 without private Geneva commentary; sprint framing uses an explicitly chosen Card 003 rather than a current transit; team contradiction uses only the current session review; desk-anchor interest maps to a digital-edition recommendation with human-controlled Stripe review. Unsupported claims are visibly qualified.</x:v>
      </x:c>
      <x:c r="I79" s="14" t="str">
        <x:v>All six operational contexts now have corrected, production-reproducible flows. Card 006 uses its public title Future Geometry; card interpretation uses get_card; the current-session review stays single-user; the workspace recommendation is digital and price-free; diagnosis, transit, private commentary, physical fulfillment, cart, and payment claims are excluded.</x:v>
      </x:c>
      <x:c r="J79" s="14" t="str">
        <x:v>Verified</x:v>
      </x:c>
      <x:c r="K79" s="14" t="str">
        <x:v>Source-to-contract audit + six-case deterministic corpus + live browser-agent evaluation</x:v>
      </x:c>
      <x:c r="L79" s="14" t="str">
        <x:v>Map every action and output in all six scenarios to the production tool schema and public data; create one corrected reproducible flow per scenario; validate expected tools and boundaries; run all six prompts through the production-discovered WebMCP toolset; confirm no invented tools, private corpora, diagnosis, transit, physical product, price, cart, or payment claim.</x:v>
      </x:c>
      <x:c r="M79" s="14" t="str">
        <x:v>PASS — deterministic six-case validation; live Gemini 2.5 Flash + WebMCP Inspector evaluation achieved 6/6 exact cases, 8/8 exact calls, 100% required-order accuracy, and 100% argument agreement. HTML/XML parsing and 1440px/390px overflow checks passed.</x:v>
      </x:c>
      <x:c r="N79" s="14" t="str">
        <x:v>Resolved — every useful business context was retained while unsupported runtime, evidence, product, and authority claims were removed.</x:v>
      </x:c>
      <x:c r="O79" s="14" t="str">
        <x:v>High</x:v>
      </x:c>
      <x:c r="P79" s="14" t="str">
        <x:v>Yes — completed.</x:v>
      </x:c>
      <x:c r="Q79" s="14" t="str">
        <x:v>Added a frozen six-case operational corpus, live evaluation evidence, validators, and a self-contained StrategiX use-case artifact with one reproducible flow and explicit boundary per scenario.</x:v>
      </x:c>
      <x:c r="R79" s="14" t="str">
        <x:v>web/evals/webmcp-operational-use-cases.json; scripts/validate-webmcp-operational-use-cases.mjs; scripts/validate-webmcp-operational-evidence.mjs; scripts/build-webmcp-operational-use-cases.mjs; WEBMCP_OPERATIONAL_USE_CASES.html; README.md; SUBMISSION.md; scripts/validate-submission.mjs; package.json; CHANGELOG.md; qa_evidence/webmcp_operational_use_case_eval/**; qa_evidence/webmcp_operational_use_cases/**</x:v>
      </x:c>
      <x:c r="S79" s="14" t="str">
        <x:v>fa341e7</x:v>
      </x:c>
      <x:c r="T79" s="14" t="str">
        <x:v>Run npm run test:webmcp:operational-use-cases, npm run test:webmcp:operational-evidence, npm run validate:submission, the complete WebMCP/web/Stripe/Go regression suite, HTML/XML parsing, and desktop/mobile overflow checks.</x:v>
      </x:c>
      <x:c r="U79" s="14" t="str">
        <x:v>PASS — 6/6 exact live cases, 8/8 exact calls, zero invented calls, local validators pass, and the visual artifact renders without page overflow.</x:v>
      </x:c>
      <x:c r="V79" s="14" t="str">
        <x:v>Verified</x:v>
      </x:c>
      <x:c r="W79" s="14" t="str">
        <x:v>No</x:v>
      </x:c>
      <x:c r="X79" s="14" t="str">
        <x:v>Canonical evidence: qa_evidence/webmcp_operational_use_case_eval/latest.json. Visual contract: WEBMCP_OPERATIONAL_USE_CASES.html. The production tool count remains eight.</x:v>
      </x:c>
      <x:c r="Y79" s="14" t="str">
        <x:v>Six concrete, high-leverage WebMCP use cases for mirrorloopai.com across operational bottlenecks.</x:v>
      </x:c>
    </x:row>
    <x:row r="80">
      <x:c r="A80" s="14" t="str">
        <x:v>RES-011</x:v>
      </x:c>
      <x:c r="B80" s="14" t="str">
        <x:v>Competition 10/10 strategy claim hardening</x:v>
      </x:c>
      <x:c r="C80" s="14" t="str">
        <x:v>Competition narrative, security, architecture, and demo</x:v>
      </x:c>
      <x:c r="D80" s="14" t="str">
        <x:v>web/lib/webmcp.js; web/app.js; web/data/shop.json; SUBMISSION.md; WEBMCP_COMPETITION_HARDENING_AUDIT.html</x:v>
      </x:c>
      <x:c r="E80" s="14" t="str">
        <x:v>Devpost narrative, three-minute demo, and public architecture claims</x:v>
      </x:c>
      <x:c r="F80" s="14" t="str">
        <x:v>Competition judge, technical reviewer, and entrant</x:v>
      </x:c>
      <x:c r="G80" s="14" t="str">
        <x:v>As a competition judge, I want ambitious claims separated from implemented evidence, so that I can reward real WebMCP leverage without being misled by fictional tools, benchmarks, products, or privacy guarantees.</x:v>
      </x:c>
      <x:c r="H80" s="14" t="str">
        <x:v>The submission uses the real eight-tool contract, existing local-state events, strict schemas, 12-answer completion gate, public card registry, digital catalog, and explicit human transaction boundary. Numeric judging scores are not self-awarded. Unsupported dial events, sub-millisecond LST, Tool 9, P2P zero-knowledge, physical decks, x402, historical game-theoretic authority, ray diagnostics, and autonomous settlement are rejected or clearly labeled future concepts.</x:v>
      </x:c>
      <x:c r="I80" s="14" t="str">
        <x:v>The proposed strategy is now reconciled against inspected code and preserved evidence. A self-contained claim ledger classifies unsupported scores, events, astronomy, Tool 9/P2P, physical fulfillment, x402, and symbolic-science authority; preserves the eight real tools, three UI events, strict schemas, completion gate, digital catalog, and human payment boundary; and provides a corrected 2:35 demo and Devpost core.</x:v>
      </x:c>
      <x:c r="J80" s="14" t="str">
        <x:v>Verified</x:v>
      </x:c>
      <x:c r="K80" s="14" t="str">
        <x:v>Claim-to-code audit + security boundary regression + submission/document validation</x:v>
      </x:c>
      <x:c r="L80" s="14" t="str">
        <x:v>Map every matrix, architecture, security, dyadic, commerce, framing, storyboard, Devpost, and checklist claim to inspected code/data/evidence; preserve supported controls; generate a claim-status audit and corrected storyboard/copy; validate absence of invented capabilities in publishable text; run full WebMCP, submission, site, Stripe, and Go regressions plus HTML/XML and responsive checks.</x:v>
      </x:c>
      <x:c r="M80" s="14" t="str">
        <x:v>PASS — claim validator and submission validator passed; 11 embedded XML claim decisions parsed; desktop 1440px and mobile 390px renders had no horizontal overflow; complete WebMCP evaluation, web, Stripe, site, submission, Go test, and Go vet regressions passed.</x:v>
      </x:c>
      <x:c r="N80" s="14" t="str">
        <x:v>Resolved — unsupported perfect-score and nonexistent-capability claims are classified, excluded from publishable copy, or explicitly deferred.</x:v>
      </x:c>
      <x:c r="O80" s="14" t="str">
        <x:v>Critical</x:v>
      </x:c>
      <x:c r="P80" s="14" t="str">
        <x:v>Yes — completed.</x:v>
      </x:c>
      <x:c r="Q80" s="14" t="str">
        <x:v>Added a generated StrategiX claim-hardening audit, machine-readable claim ledger, corrected judge evidence map, 2:35 storyboard, Devpost core, release-freeze decision, validator, submission gate, documentation links, and responsive evidence.</x:v>
      </x:c>
      <x:c r="R80" s="14" t="str">
        <x:v>WEBMCP_COMPETITION_HARDENING_AUDIT.html; scripts/build-webmcp-competition-hardening-audit.mjs; scripts/validate-webmcp-competition-hardening.mjs; scripts/validate-submission.mjs; package.json; README.md; SUBMISSION.md; CHANGELOG.md; qa_evidence/webmcp_competition_hardening/**</x:v>
      </x:c>
      <x:c r="S80" s="14" t="str">
        <x:v>ddabacf</x:v>
      </x:c>
      <x:c r="T80" s="14" t="str">
        <x:v>Run all four WebMCP corpus/claim validators, all three preserved live-evidence validators, npm test, npm run test:stripe, npm run validate, npm run validate:submission, go test ./..., go vet ./..., embedded XML parsing, and desktop/mobile overflow checks.</x:v>
      </x:c>
      <x:c r="U80" s="14" t="str">
        <x:v>PASS — 15-case, 10-case, and 6-case suites and evidence validators passed; 25/25 web tests and 1/1 Stripe test passed; site/submission/Go gates passed; XML contained 11 claim decisions; 1440px and 390px scroll widths equaled their viewports.</x:v>
      </x:c>
      <x:c r="V80" s="14" t="str">
        <x:v>Verified</x:v>
      </x:c>
      <x:c r="W80" s="14" t="str">
        <x:v>No</x:v>
      </x:c>
      <x:c r="X80" s="14" t="str">
        <x:v>Canonical artifact: WEBMCP_COMPETITION_HARDENING_AUDIT.html. Responsive evidence: qa_evidence/webmcp_competition_hardening/. No ninth tool, P2P exchange, astronomical engine, physical fulfillment, x402, or autonomous payment was added. External operator gates remain pending.</x:v>
      </x:c>
      <x:c r="Y80" s="14" t="str">
        <x:v>Achieve an unassailable 10/10 across every WebMCP Challenge judging dimension using the supplied master evaluation matrix, architecture, storyboard, Devpost copy, and execution checklist.</x:v>
      </x:c>
    </x:row>
    <x:row r="81">
      <x:c r="A81" s="14" t="str">
        <x:v>RES-012</x:v>
      </x:c>
      <x:c r="B81" s="14" t="str">
        <x:v>Evidence-bounded judge panel orientation</x:v>
      </x:c>
      <x:c r="C81" s="14" t="str">
        <x:v>Competition presentation</x:v>
      </x:c>
      <x:c r="D81" s="14" t="str">
        <x:v>SUBMISSION.md; WEBMCP_JUDGE_PANEL_BRIEF.html; scripts/build-webmcp-judge-panel-brief.mjs; scripts/validate-submission.mjs</x:v>
      </x:c>
      <x:c r="E81" s="14" t="str">
        <x:v>Devpost submission package and repository evidence brief</x:v>
      </x:c>
      <x:c r="F81" s="14" t="str">
        <x:v>WebMCP Challenge judge</x:v>
      </x:c>
      <x:c r="G81" s="14" t="str">
        <x:v>As a WebMCP Challenge judge, I want the submission evidence organized around the panel’s relevant engineering disciplines, so that I can verify the project quickly without relying on personal profiling or unsupported technical claims.</x:v>
      </x:c>
      <x:c r="H81" s="14" t="str">
        <x:v>The submission names the user-provided panel roster, organizes existing evidence under browser safety, WebMCP contracts, web performance, privacy boundaries, modern web delivery, and applied product value, labels role-based lenses as orientation rather than psychographic fact, and explicitly rejects undeployed astronomy, P2P, physical-product, zero-telemetry, bundle-size, and benchmark claims.</x:v>
      </x:c>
      <x:c r="I81" s="14" t="str">
        <x:v>PASS — the official challenge page confirms all seven names and titles; the new brief organizes six reproducible evidence paths while explicitly excluding unsupported personal and technical claims.</x:v>
      </x:c>
      <x:c r="J81" s="14" t="str">
        <x:v>Fixed</x:v>
      </x:c>
      <x:c r="K81" s="14" t="str">
        <x:v>Documentation claim audit + HTML/XML validation + submission regression</x:v>
      </x:c>
      <x:c r="L81" s="14" t="str">
        <x:v>Verify the panel roster against the official challenge surface where available; compare every proposed capability with source and preserved runtime evidence; parse the self-contained HTML and embedded XML; run submission, WebMCP, site, Stripe, and Go regression gates.</x:v>
      </x:c>
      <x:c r="M81" s="14" t="str">
        <x:v>PASS — official roster/source capture, claim-to-code baseline, generated HTML/XML contract, 1440 px and 390 px browser renders, and full regression evidence are preserved under qa_evidence/webmcp_judge_panel/.</x:v>
      </x:c>
      <x:c r="N81" s="14" t="str">
        <x:v>Resolved — judge orientation now relies on public roles and implemented evidence rather than alleged preferences or future capabilities.</x:v>
      </x:c>
      <x:c r="O81" s="14" t="str">
        <x:v>High</x:v>
      </x:c>
      <x:c r="P81" s="14" t="str">
        <x:v>Yes — completed.</x:v>
      </x:c>
      <x:c r="Q81" s="14" t="str">
        <x:v>Added a generated StrategiX judge-panel brief, official-source provenance, six role-oriented evidence paths, measured module sizes, an explicit exclusion ledger, deterministic validation, and submission-package links.</x:v>
      </x:c>
      <x:c r="R81" s="14" t="str">
        <x:v>WEBMCP_JUDGE_PANEL_BRIEF.html; scripts/build-webmcp-judge-panel-brief.mjs; scripts/validate-webmcp-judge-panel-brief.mjs; scripts/validate-submission.mjs; package.json; README.md; SUBMISSION.md; CHANGELOG.md; qa_evidence/webmcp_judge_panel/**; feature_status_tracker.csv</x:v>
      </x:c>
      <x:c r="S81" s="14" t="str">
        <x:v>7a91f15</x:v>
      </x:c>
      <x:c r="T81" s="14" t="str">
        <x:v>Run the judge-panel and submission validators, all WebMCP corpus/evidence validators, npm test, Stripe test, site validation, go test, go vet, embedded XML parsing, and desktop/mobile no-overflow checks.</x:v>
      </x:c>
      <x:c r="U81" s="14" t="str">
        <x:v>PASS — panel brief and submission validation passed; all 25 web tests and 1 Stripe test passed; all WebMCP corpus/evidence gates, site validation, Go tests, Go vet, XML parse, seven-row panel render, and responsive no-overflow checks passed.</x:v>
      </x:c>
      <x:c r="V81" s="14" t="str">
        <x:v>Verified</x:v>
      </x:c>
      <x:c r="W81" s="14" t="str">
        <x:v>No</x:v>
      </x:c>
      <x:c r="X81" s="14" t="str">
        <x:v>Official source capture: qa_evidence/webmcp_judge_panel/official-source.txt. Canonical brief: WEBMCP_JUDGE_PANEL_BRIEF.html. The artifact does not claim knowledge of judges’ private preferences or predict scores.</x:v>
      </x:c>
      <x:c r="Y81" s="14" t="str">
        <x:v>Tailor the MIRROR//LOOP WebMCP submission to the listed judging panel while preserving an evidence-bounded architecture and narrative.</x:v>
      </x:c>
    </x:row>
  </x:sheetData>
  <x:dataValidations count="4">
    <x:dataValidation type="list" sqref="J2:J81">
      <x:formula1>"Not Reviewed,Story Drafted,Ready For Test,Failed Test,Fix In Progress,Fixed,Retest Failed,Verified,Blocked,Needs Product Decision"</x:formula1>
    </x:dataValidation>
    <x:dataValidation type="list" sqref="O2:O81">
      <x:formula1>"Critical,High,Medium,Low,None"</x:formula1>
    </x:dataValidation>
    <x:dataValidation type="list" sqref="K2:K81">
      <x:formula1>"Code Review,Manual UI,Automated Test,Smoke Test,Regression Test,Accessibility Review,Responsive Review,Integration Test"</x:formula1>
    </x:dataValidation>
    <x:dataValidation type="list" sqref="V2:V81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COUNTA('Tracker'!$A$2:$A$81)</x:f>
        <x:v>80</x:v>
      </x:c>
      <x:c r="D4" s="21" t="str">
        <x:v>Critical</x:v>
      </x:c>
      <x:c r="E4" s="21" t="n">
        <x:f>COUNTIFS('Tracker'!$O$2:$O$81,"Critical",'Tracker'!$V$2:$V$81,"&lt;&gt;Verified")</x:f>
        <x:v>4</x:v>
      </x:c>
    </x:row>
    <x:row r="5" ht="22" customHeight="1">
      <x:c r="A5" s="21" t="str">
        <x:v>Current Verified</x:v>
      </x:c>
      <x:c r="B5" s="21" t="n">
        <x:f>COUNTIF('Tracker'!$J$2:$J$81,"Verified")</x:f>
        <x:v>56</x:v>
      </x:c>
      <x:c r="D5" s="21" t="str">
        <x:v>High</x:v>
      </x:c>
      <x:c r="E5" s="21" t="n">
        <x:f>COUNTIFS('Tracker'!$O$2:$O$81,"High",'Tracker'!$V$2:$V$81,"&lt;&gt;Verified")</x:f>
        <x:v>1</x:v>
      </x:c>
    </x:row>
    <x:row r="6" ht="22" customHeight="1">
      <x:c r="A6" s="21" t="str">
        <x:v>Failed Test</x:v>
      </x:c>
      <x:c r="B6" s="21" t="n">
        <x:f>COUNTIF('Tracker'!$J$2:$J$81,"Failed Test")</x:f>
        <x:v>1</x:v>
      </x:c>
      <x:c r="D6" s="21" t="str">
        <x:v>Medium</x:v>
      </x:c>
      <x:c r="E6" s="21" t="n">
        <x:f>COUNTIFS('Tracker'!$O$2:$O$81,"Medium",'Tracker'!$V$2:$V$81,"&lt;&gt;Verified")</x:f>
        <x:v>0</x:v>
      </x:c>
    </x:row>
    <x:row r="7" ht="22" customHeight="1">
      <x:c r="A7" s="21" t="str">
        <x:v>Fix In Progress</x:v>
      </x:c>
      <x:c r="B7" s="21" t="n">
        <x:f>COUNTIF('Tracker'!$J$2:$J$81,"Fix In Progress")</x:f>
        <x:v>0</x:v>
      </x:c>
      <x:c r="D7" s="21" t="str">
        <x:v>Low</x:v>
      </x:c>
      <x:c r="E7" s="21" t="n">
        <x:f>COUNTIFS('Tracker'!$O$2:$O$81,"Low",'Tracker'!$V$2:$V$81,"&lt;&gt;Verified")</x:f>
        <x:v>0</x:v>
      </x:c>
    </x:row>
    <x:row r="8" ht="22" customHeight="1">
      <x:c r="A8" s="21" t="str">
        <x:v>Fixed</x:v>
      </x:c>
      <x:c r="B8" s="21" t="n">
        <x:f>COUNTIF('Tracker'!$J$2:$J$81,"Fixed")</x:f>
        <x:v>19</x:v>
      </x:c>
      <x:c r="D8" s="21" t="str">
        <x:v>Needs Product Decision</x:v>
      </x:c>
      <x:c r="E8" s="21" t="n">
        <x:f>COUNTIF('Tracker'!$W$2:$W$81,"Yes")</x:f>
        <x:v>1</x:v>
      </x:c>
    </x:row>
    <x:row r="9" ht="22" customHeight="1">
      <x:c r="A9" s="21" t="str">
        <x:v>Final Verified</x:v>
      </x:c>
      <x:c r="B9" s="21" t="n">
        <x:f>COUNTIF('Tracker'!$V$2:$V$81,"Verified")</x:f>
        <x:v>75</x:v>
      </x:c>
      <x:c r="D9" s="21" t="str">
        <x:v>Rows With Commit Hash</x:v>
      </x:c>
      <x:c r="E9" s="21" t="n">
        <x:v>48</x:v>
      </x:c>
    </x:row>
    <x:row r="10" ht="22" customHeight="1">
      <x:c r="A10" s="21" t="str">
        <x:v>Blocked</x:v>
      </x:c>
      <x:c r="B10" s="21" t="n">
        <x:f>COUNTIF('Tracker'!$V$2:$V$81,"Blocked")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