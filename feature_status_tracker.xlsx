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d1b877ecbe46d7" /></Relationships>
</file>

<file path=xl/workbook.xml><?xml version="1.0" encoding="utf-8"?>
<x:workbook xmlns:x="http://schemas.openxmlformats.org/spreadsheetml/2006/main">
  <x:sheets>
    <x:sheet xmlns:r="http://schemas.openxmlformats.org/officeDocument/2006/relationships" name="Tracker" sheetId="1" r:id="R95fa9b8693264af2"/>
    <x:sheet xmlns:r="http://schemas.openxmlformats.org/officeDocument/2006/relationships" name="Dashboard" sheetId="2" r:id="R764d5ee9924046a0"/>
    <x:sheet xmlns:r="http://schemas.openxmlformats.org/officeDocument/2006/relationships" name="Lists" sheetId="3" r:id="Rb9cd2e5dfd8f40b3"/>
    <x:sheet xmlns:r="http://schemas.openxmlformats.org/officeDocument/2006/relationships" name="Instructions" sheetId="4" r:id="R9768388103a4466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efe8038c344c44" /><Relationship Type="http://schemas.openxmlformats.org/officeDocument/2006/relationships/theme" Target="/xl/theme/theme1.xml" Id="Recd93db8694647fb" /><Relationship Type="http://schemas.openxmlformats.org/officeDocument/2006/relationships/sharedStrings" Target="/xl/sharedStrings.xml" Id="Rf93c18819f294664" /><Relationship Type="http://schemas.openxmlformats.org/officeDocument/2006/relationships/worksheet" Target="/xl/worksheets/sheet1.xml" Id="R95fa9b8693264af2" /><Relationship Type="http://schemas.openxmlformats.org/officeDocument/2006/relationships/worksheet" Target="/xl/worksheets/sheet2.xml" Id="R764d5ee9924046a0" /><Relationship Type="http://schemas.openxmlformats.org/officeDocument/2006/relationships/worksheet" Target="/xl/worksheets/sheet3.xml" Id="Rb9cd2e5dfd8f40b3" /><Relationship Type="http://schemas.openxmlformats.org/officeDocument/2006/relationships/worksheet" Target="/xl/worksheets/sheet4.xml" Id="R9768388103a4466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Its six-point verified core covers typed tools, human confirmation, browser-only scoring, the 144-card public matrix, human-controlled commerce, and the observed Chrome deployment. The Video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verified-core scope, narration, evidence map, excluded-claim list,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the canonical shot list and six-capability verified-core block. Scoped no-cloud language to reflection scoring, preserved WebMCP commerce boundaries, and added deterministic submission checks.</x:v>
      </x:c>
      <x:c r="R63" s="14" t="str">
        <x:v>WEBMCP_DEMO_SHOT_LIST.html; README.md; SUBMISSION.md; scripts/validate-submission.mjs; CHANGELOG.md; CONTINUITY.md; qa_evidence/submission_readiness/demo-shot-list-validation-2026-08-30.txt</x:v>
      </x:c>
      <x:c r="S63" s="14" t="str">
        <x:v>4313f6d; 45f85b7; b8f25e6</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and verified core: HTML/XML, eight-tool inventory, human confirmation, stable browser scoring, Cards 001–144, commerce boundary, Chrome evidence, 155-second timing,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“No cloud computation” applies only to deterministic scoring; email and commerce services remain separate. Undeployed claims remain excluded.</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8 TOOLS MOUNTED, or DIRECT MODE; bounded mirrorloop:tool_start and mirrorloop:tool_complete events drive a short local event history containing the tool name, allowlisted non-sensitive input summary, measured elapsed time, success/error outcome, and a HUMAN CONFIRMED badge only when answer_reflection_question receives confirmed_by_user true. It never exposes focus text, email, arbitrary fields, or tool results; it is responsive and honors reduced motion. Timing is observational, not a performance guarantee.</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1. Verify the pre-fix page lacks the rail and lifecycle events. 2. Register all eight tools and assert CHECKING to REGISTERING to 8 TOOLS MOUNTED. 3. Invoke read-only, confirmed-answer, rejected-answer, and private-focus tools. 4. Assert start/complete event order, outcome, measured duration, and confirmation badge rules. 5. Assert no focus text, email, arbitrary field, or result body enters lifecycle details or DOM. 6. Verify collapse, keyboard focus, mobile layout, no overflow, and reduced motion. 7. Retest eight-tool registration, quiz, commerce, and direct fallback.</x:v>
      </x:c>
      <x:c r="M91" s="14" t="str">
        <x:v>FAIL baseline preserved at qa_evidence/webmcp_glass_cockpit/baseline-2026-08-30.txt. The implementation was then tested through the real eight-tool registration wrapper and page event consumer.</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32/32 web tests, site validation, submission validation, Chrome UX, 15-case WebMCP corpus, competition hardening, six-role claims, and Stripe regression passed. The production browser harness registered all eight tools and invoked start_reflection plus a confirmed answer through the real wrapper; desktop and 390px views had no horizontal overflow, collapse reopened by keyboard, event history stayed at five entries, and private focus text was absent. Firebase Hosting deployed versioned styles/app assets. Evidence: qa_evidence/webmcp_glass_cockpit/browser-retest.json, desktop-retest.png, mobile-retest.png, production-browser-retest.txt, and firebase-hosting-deploy.txt.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5" s="14" t="str">
        <x:v>Automated CI/CD WebMCP Evaluation Runner: provide a one-command headless benchmark for registration, budgets, human confirmation, premature completion, and safe commerce.</x:v>
      </x:c>
    </x:row>
    <x:row r="96">
      <x:c r="A96" s="14" t="str">
        <x:v>WM-019</x:v>
      </x:c>
      <x:c r="B96" s="14" t="str">
        <x:v>Why agents co-pilot this node</x:v>
      </x:c>
      <x:c r="C96" s="14" t="str">
        <x:v>WebMCP positioning and judge demo</x:v>
      </x:c>
      <x:c r="D96" s="14" t="str">
        <x:v>README.md; web/evals/webmcp-evals.json; scripts/validate-webmcp-evals.mjs; WEBMCP_DEMO_SHOT_LIST.html; scripts/validate-submission.mjs</x:v>
      </x:c>
      <x:c r="E96" s="14" t="str">
        <x:v>Public README; deterministic WebMCP corpus; 2:35 demo shot list</x:v>
      </x:c>
      <x:c r="F96" s="14" t="str">
        <x:v>Competition judge agent developer or prospective participant</x:v>
      </x:c>
      <x:c r="G96" s="14" t="str">
        <x:v>As a competition judge or agent developer, I want a concise evidence-backed explanation of why an agent should use MIRROR//LOOP instead of reproducing the flow in chat, so that I can understand its distinctive WebMCP value and human-authority boundaries.</x:v>
      </x:c>
      <x:c r="H96" s="14"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Act I of the 2:35 demo visually contrasts chat-only coordination burden with the site-owned typed contract without claiming a measured standalone-model failure, zero hallucination, zero tracking, or universal zero egress.</x:v>
      </x:c>
      <x:c r="I96" s="14" t="str">
        <x:v>README now contains the exact six-part evidence-backed rationale. The 18-case corpus explicitly uses explain_choice to resolve an ambiguous choice before a separately confirmed answer, while the autonomous-choice boundary produces no tool call. The demo Act I now contrasts chat-only coordination burden with a site-owned WebMCP contract and consistently reports eleven tools.</x:v>
      </x:c>
      <x:c r="J96" s="14" t="str">
        <x:v>Fixed</x:v>
      </x:c>
      <x:c r="K96" s="14" t="str">
        <x:v>Documentation contract + deterministic corpus validation + StrategiX demo artifact validation</x:v>
      </x:c>
      <x:c r="L96" s="14"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6" s="14"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6" s="14" t="str">
        <x:v>The first submission-contract assertion searched for lowercase “optional email delivery” while the README heading phrase began with a capital letter. The demo artifact also contained stale eight-tool and nine-tool labels discovered during baseline inspection.</x:v>
      </x:c>
      <x:c r="O96" s="14" t="str">
        <x:v>Low</x:v>
      </x:c>
      <x:c r="P96" s="14" t="str">
        <x:v>No — completed.</x:v>
      </x:c>
      <x:c r="Q96" s="14" t="str">
        <x:v>Yes — added the six-part README rationale, strengthened exact corpus assertions, revised the Act I contrast, qualified privacy and model-performance claims, and corrected stale demo tool counts.</x:v>
      </x:c>
      <x:c r="R96" s="14"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6" s="14" t="str">
        <x:v>58d7d83</x:v>
      </x:c>
      <x:c r="T96" s="14" t="str">
        <x:v>Repeat all listed validation commands and inspect the generated demo and tracker HTML in a browser.</x:v>
      </x:c>
      <x:c r="U96" s="14" t="str">
        <x:v>PASS — npm run test:webmcp:evals reported 18 cases, 11 tools, and 2 sequences; npm run test:webmcp passed 7 checks; npm test passed 46/46; npm run validate and npm run validate:submission passed; the embedded XML parsed; the Lit artifact rendered 10 shots with 2:35, 11, and 0 metrics and no horizontal overflow.</x:v>
      </x:c>
      <x:c r="V96" s="14" t="str">
        <x:v>Verified</x:v>
      </x:c>
      <x:c r="W96" s="14" t="str">
        <x:v>No</x:v>
      </x:c>
      <x:c r="X96" s="14"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6" s="14" t="str">
        <x:v>Document why autonomous agents co-pilot the node; explicitly test explain_choice ambiguity resolution and confirmed_by_user safety; contrast chat-only coordination burden with WebMCP in demo Act I.</x:v>
      </x:c>
    </x:row>
  </x:sheetData>
  <x:dataValidations count="4">
    <x:dataValidation type="list" sqref="J2:J96">
      <x:formula1>"Not Reviewed,Story Drafted,Ready For Test,Failed Test,Fix In Progress,Fixed,Retest Failed,Verified,Blocked,Needs Product Decision"</x:formula1>
    </x:dataValidation>
    <x:dataValidation type="list" sqref="O2:O96">
      <x:formula1>"Critical,High,Medium,Low,None"</x:formula1>
    </x:dataValidation>
    <x:dataValidation type="list" sqref="K2:K96">
      <x:formula1>"Code Review,Manual UI,Automated Test,Smoke Test,Regression Test,Accessibility Review,Responsive Review,Integration Test"</x:formula1>
    </x:dataValidation>
    <x:dataValidation type="list" sqref="V2:V9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COUNTA('Tracker'!$A$2:$A$96)</x:f>
        <x:v>95</x:v>
      </x:c>
      <x:c r="D4" s="21" t="str">
        <x:v>Critical</x:v>
      </x:c>
      <x:c r="E4" s="21" t="n">
        <x:f>COUNTIFS('Tracker'!$O$2:$O$96,"Critical",'Tracker'!$V$2:$V$96,"&lt;&gt;Verified")</x:f>
        <x:v>4</x:v>
      </x:c>
    </x:row>
    <x:row r="5" ht="22" customHeight="1">
      <x:c r="A5" s="21" t="str">
        <x:v>Current Verified</x:v>
      </x:c>
      <x:c r="B5" s="21" t="n">
        <x:f>COUNTIF('Tracker'!$J$2:$J$96,"Verified")</x:f>
        <x:v>63</x:v>
      </x:c>
      <x:c r="D5" s="21" t="str">
        <x:v>High</x:v>
      </x:c>
      <x:c r="E5" s="21" t="n">
        <x:f>COUNTIFS('Tracker'!$O$2:$O$96,"High",'Tracker'!$V$2:$V$96,"&lt;&gt;Verified")</x:f>
        <x:v>2</x:v>
      </x:c>
    </x:row>
    <x:row r="6" ht="22" customHeight="1">
      <x:c r="A6" s="21" t="str">
        <x:v>Failed Test</x:v>
      </x:c>
      <x:c r="B6" s="21" t="n">
        <x:f>COUNTIF('Tracker'!$J$2:$J$96,"Failed Test")</x:f>
        <x:v>1</x:v>
      </x:c>
      <x:c r="D6" s="21" t="str">
        <x:v>Medium</x:v>
      </x:c>
      <x:c r="E6" s="21" t="n">
        <x:f>COUNTIFS('Tracker'!$O$2:$O$96,"Medium",'Tracker'!$V$2:$V$96,"&lt;&gt;Verified")</x:f>
        <x:v>0</x:v>
      </x:c>
    </x:row>
    <x:row r="7" ht="22" customHeight="1">
      <x:c r="A7" s="21" t="str">
        <x:v>Fix In Progress</x:v>
      </x:c>
      <x:c r="B7" s="21" t="n">
        <x:f>COUNTIF('Tracker'!$J$2:$J$96,"Fix In Progress")</x:f>
        <x:v>0</x:v>
      </x:c>
      <x:c r="D7" s="21" t="str">
        <x:v>Low</x:v>
      </x:c>
      <x:c r="E7" s="21" t="n">
        <x:f>COUNTIFS('Tracker'!$O$2:$O$96,"Low",'Tracker'!$V$2:$V$96,"&lt;&gt;Verified")</x:f>
        <x:v>0</x:v>
      </x:c>
    </x:row>
    <x:row r="8" ht="22" customHeight="1">
      <x:c r="A8" s="21" t="str">
        <x:v>Fixed</x:v>
      </x:c>
      <x:c r="B8" s="21" t="n">
        <x:f>COUNTIF('Tracker'!$J$2:$J$96,"Fixed")</x:f>
        <x:v>26</x:v>
      </x:c>
      <x:c r="D8" s="21" t="str">
        <x:v>Needs Product Decision</x:v>
      </x:c>
      <x:c r="E8" s="21" t="n">
        <x:f>COUNTIF('Tracker'!$W$2:$W$96,"Yes")</x:f>
        <x:v>1</x:v>
      </x:c>
    </x:row>
    <x:row r="9" ht="22" customHeight="1">
      <x:c r="A9" s="21" t="str">
        <x:v>Final Verified</x:v>
      </x:c>
      <x:c r="B9" s="21" t="n">
        <x:f>COUNTIF('Tracker'!$V$2:$V$96,"Verified")</x:f>
        <x:v>89</x:v>
      </x:c>
      <x:c r="D9" s="21" t="str">
        <x:v>Rows With Commit Hash</x:v>
      </x:c>
      <x:c r="E9" s="21" t="n">
        <x:v>62</x:v>
      </x:c>
    </x:row>
    <x:row r="10" ht="22" customHeight="1">
      <x:c r="A10" s="21" t="str">
        <x:v>Blocked</x:v>
      </x:c>
      <x:c r="B10" s="21" t="n">
        <x:f>COUNTIF('Tracker'!$V$2:$V$96,"Blocked")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