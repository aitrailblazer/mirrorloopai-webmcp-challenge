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1a208916e344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f2814b13ba2540b0"/>
    <x:sheet xmlns:r="http://schemas.openxmlformats.org/officeDocument/2006/relationships" name="Dashboard" sheetId="2" r:id="Ra2120dde756f4829"/>
    <x:sheet xmlns:r="http://schemas.openxmlformats.org/officeDocument/2006/relationships" name="Lists" sheetId="3" r:id="Rb81e17fd47f04d7a"/>
    <x:sheet xmlns:r="http://schemas.openxmlformats.org/officeDocument/2006/relationships" name="Instructions" sheetId="4" r:id="R31fae4025ba54d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936343a74b4018" /><Relationship Type="http://schemas.openxmlformats.org/officeDocument/2006/relationships/theme" Target="/xl/theme/theme1.xml" Id="R8613d56a5c9a42e2" /><Relationship Type="http://schemas.openxmlformats.org/officeDocument/2006/relationships/sharedStrings" Target="/xl/sharedStrings.xml" Id="R19a2b23c0d6b42ea" /><Relationship Type="http://schemas.openxmlformats.org/officeDocument/2006/relationships/worksheet" Target="/xl/worksheets/sheet1.xml" Id="Rf2814b13ba2540b0" /><Relationship Type="http://schemas.openxmlformats.org/officeDocument/2006/relationships/worksheet" Target="/xl/worksheets/sheet2.xml" Id="Ra2120dde756f4829" /><Relationship Type="http://schemas.openxmlformats.org/officeDocument/2006/relationships/worksheet" Target="/xl/worksheets/sheet3.xml" Id="Rb81e17fd47f04d7a" /><Relationship Type="http://schemas.openxmlformats.org/officeDocument/2006/relationships/worksheet" Target="/xl/worksheets/sheet4.xml" Id="R31fae4025ba54d7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F-001</x:v>
      </x:c>
      <x:c r="B2" s="14" t="str">
        <x:v>Landing page orientation</x:v>
      </x:c>
      <x:c r="C2" s="14" t="str">
        <x:v>Landing</x:v>
      </x:c>
      <x:c r="D2" s="14" t="str">
        <x:v>web/index.html; web/styles.css</x:v>
      </x:c>
      <x:c r="E2" s="14" t="str">
        <x:v>/</x:v>
      </x:c>
      <x:c r="F2" s="14" t="str">
        <x:v>First-time visitor</x:v>
      </x:c>
      <x:c r="G2" s="14" t="str">
        <x:v>As a first-time visitor, I want to understand MIRROR//LOOP immediately, so that I can decide whether to take the reflection.</x:v>
      </x:c>
      <x:c r="H2" s="14" t="str">
        <x:v>The hero explains a two-minute, non-diagnostic reflection in plain language and presents one primary start action.</x:v>
      </x:c>
      <x:c r="I2" s="14" t="str">
        <x:v>PASS — production landing page and accessibility tree clearly communicate the two-minute reflection and primary CTA. Revalidated by current automated, browser, production, and security gates.</x:v>
      </x:c>
      <x:c r="J2" s="14" t="str">
        <x:v>Verified</x:v>
      </x:c>
      <x:c r="K2" s="14" t="str">
        <x:v>Automated + browser</x:v>
      </x:c>
      <x:c r="L2" s="14" t="str">
        <x:v>Load / at desktop and mobile widths; inspect first viewport, heading, CTA, and copy.</x:v>
      </x:c>
      <x:c r="M2" s="14" t="str">
        <x:v>PASS — production landing page and accessibility tree clearly communicate the two-minute reflection and primary CTA.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" s="14" t="str"/>
      <x:c r="O2" s="14" t="str">
        <x:v>None</x:v>
      </x:c>
      <x:c r="P2" s="14" t="str">
        <x:v>No</x:v>
      </x:c>
      <x:c r="Q2" s="14" t="str">
        <x:v>No change required.</x:v>
      </x:c>
      <x:c r="R2" s="14" t="str"/>
      <x:c r="S2" s="14" t="str"/>
      <x:c r="T2" s="14" t="str">
        <x:v>Repeat the documented test after any tracker-backed fix.</x:v>
      </x:c>
      <x:c r="U2" s="14" t="str">
        <x:v>PASS — production landing page and accessibility tree clearly communicate the two-minute reflection and primary CTA. Revalidated by current automated, browser, production, and security gates.</x:v>
      </x:c>
      <x:c r="V2" s="14" t="str">
        <x:v>Verified</x:v>
      </x:c>
      <x:c r="W2" s="14" t="str">
        <x:v>No</x:v>
      </x:c>
      <x:c r="X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2" s="14" t="str">
        <x:v>Finish the MIRROR//LOOP website; make the quiz immediately understandable; deploy the subscriber magnet on GCP using the authorized $150 credit.</x:v>
      </x:c>
    </x:row>
    <x:row r="3" ht="22" customHeight="1">
      <x:c r="A3" s="14" t="str">
        <x:v>F-002</x:v>
      </x:c>
      <x:c r="B3" s="14" t="str">
        <x:v>Shattered Compass attraction</x:v>
      </x:c>
      <x:c r="C3" s="14" t="str">
        <x:v>Landing</x:v>
      </x:c>
      <x:c r="D3" s="14" t="str">
        <x:v>web/index.html; web/images/shattered-compass-entry.webp</x:v>
      </x:c>
      <x:c r="E3" s="14" t="str">
        <x:v>/ hero</x:v>
      </x:c>
      <x:c r="F3" s="14" t="str">
        <x:v>Curious visitor</x:v>
      </x:c>
      <x:c r="G3" s="14" t="str">
        <x:v>As a curious visitor, I want to see a compelling entry image, so that I understand the visual world before starting.</x:v>
      </x:c>
      <x:c r="H3" s="14" t="str">
        <x:v>The Shattered Compass is visible, meaningfully captioned, optimized, and links to the quiz.</x:v>
      </x:c>
      <x:c r="I3" s="14" t="str">
        <x:v>PASS — production Card 012 image returns 200, has descriptive alternative text and caption, and links to the quiz. Revalidated by current automated, browser, production, and security gates.</x:v>
      </x:c>
      <x:c r="J3" s="14" t="str">
        <x:v>Verified</x:v>
      </x:c>
      <x:c r="K3" s="14" t="str">
        <x:v>Automated + browser</x:v>
      </x:c>
      <x:c r="L3" s="14" t="str">
        <x:v>Load /; verify Shattered Compass image loads, alternative text and caption explain its role, and activation reaches #quiz.</x:v>
      </x:c>
      <x:c r="M3" s="14" t="str">
        <x:v>PASS — production Card 012 image returns 200, has descriptive alternative text and caption, and links to the quiz.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" s="14" t="str"/>
      <x:c r="O3" s="14" t="str">
        <x:v>None</x:v>
      </x:c>
      <x:c r="P3" s="14" t="str">
        <x:v>No</x:v>
      </x:c>
      <x:c r="Q3" s="14" t="str">
        <x:v>No change required.</x:v>
      </x:c>
      <x:c r="R3" s="14" t="str"/>
      <x:c r="S3" s="14" t="str"/>
      <x:c r="T3" s="14" t="str">
        <x:v>Repeat the documented test after any tracker-backed fix.</x:v>
      </x:c>
      <x:c r="U3" s="14" t="str">
        <x:v>PASS — production Card 012 image returns 200, has descriptive alternative text and caption, and links to the quiz. Revalidated by current automated, browser, production, and security gates.</x:v>
      </x:c>
      <x:c r="V3" s="14" t="str">
        <x:v>Verified</x:v>
      </x:c>
      <x:c r="W3" s="14" t="str">
        <x:v>No</x:v>
      </x:c>
      <x:c r="X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3" s="14" t="str">
        <x:v>Finish the MIRROR//LOOP website; make the quiz immediately understandable; deploy the subscriber magnet on GCP using the authorized $150 credit.</x:v>
      </x:c>
    </x:row>
    <x:row r="4" ht="22" customHeight="1">
      <x:c r="A4" s="14" t="str">
        <x:v>F-003</x:v>
      </x:c>
      <x:c r="B4" s="14" t="str">
        <x:v>How the reflection works</x:v>
      </x:c>
      <x:c r="C4" s="14" t="str">
        <x:v>Education</x:v>
      </x:c>
      <x:c r="D4" s="14" t="str">
        <x:v>web/index.html</x:v>
      </x:c>
      <x:c r="E4" s="14" t="str">
        <x:v>/#how-it-works</x:v>
      </x:c>
      <x:c r="F4" s="14" t="str">
        <x:v>Unfamiliar visitor</x:v>
      </x:c>
      <x:c r="G4" s="14" t="str">
        <x:v>As a visitor unfamiliar with the system, I want a simple explanation of the experience, so that I know what my result means.</x:v>
      </x:c>
      <x:c r="H4" s="14" t="str">
        <x:v>Three plain-language steps explain choosing, pattern counting, and reflective—not fixed—interpretation.</x:v>
      </x:c>
      <x:c r="I4" s="14" t="str">
        <x:v>PASS — production page exposes Choose, Notice, and Reflect in plain language. Revalidated by current automated, browser, production, and security gates.</x:v>
      </x:c>
      <x:c r="J4" s="14" t="str">
        <x:v>Verified</x:v>
      </x:c>
      <x:c r="K4" s="14" t="str">
        <x:v>Automated + browser</x:v>
      </x:c>
      <x:c r="L4" s="14" t="str">
        <x:v>Navigate to #how-it-works; verify three steps and non-label framing.</x:v>
      </x:c>
      <x:c r="M4" s="14" t="str">
        <x:v>PASS — production page exposes Choose, Notice, and Reflect in plain language.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4" s="14" t="str"/>
      <x:c r="O4" s="14" t="str">
        <x:v>None</x:v>
      </x:c>
      <x:c r="P4" s="14" t="str">
        <x:v>No</x:v>
      </x:c>
      <x:c r="Q4" s="14" t="str">
        <x:v>No change required.</x:v>
      </x:c>
      <x:c r="R4" s="14" t="str"/>
      <x:c r="S4" s="14" t="str"/>
      <x:c r="T4" s="14" t="str">
        <x:v>Repeat the documented test after any tracker-backed fix.</x:v>
      </x:c>
      <x:c r="U4" s="14" t="str">
        <x:v>PASS — production page exposes Choose, Notice, and Reflect in plain language. Revalidated by current automated, browser, production, and security gates.</x:v>
      </x:c>
      <x:c r="V4" s="14" t="str">
        <x:v>Verified</x:v>
      </x:c>
      <x:c r="W4" s="14" t="str">
        <x:v>No</x:v>
      </x:c>
      <x:c r="X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4" s="14" t="str">
        <x:v>Finish the MIRROR//LOOP website; make the quiz immediately understandable; deploy the subscriber magnet on GCP using the authorized $150 credit.</x:v>
      </x:c>
    </x:row>
    <x:row r="5" ht="22" customHeight="1">
      <x:c r="A5" s="14" t="str">
        <x:v>F-004</x:v>
      </x:c>
      <x:c r="B5" s="14" t="str">
        <x:v>Quiz entry</x:v>
      </x:c>
      <x:c r="C5" s="14" t="str">
        <x:v>Quiz</x:v>
      </x:c>
      <x:c r="D5" s="14" t="str">
        <x:v>web/index.html; web/app.js</x:v>
      </x:c>
      <x:c r="E5" s="14" t="str">
        <x:v>/#quiz</x:v>
      </x:c>
      <x:c r="F5" s="14" t="str">
        <x:v>Quiz participant</x:v>
      </x:c>
      <x:c r="G5" s="14" t="str">
        <x:v>As a participant, I want to begin the quiz confidently, so that I know its length and that there are no right answers.</x:v>
      </x:c>
      <x:c r="H5" s="14" t="str">
        <x:v>Start state states 12 questions, gives selection guidance, and opens question 1.</x:v>
      </x:c>
      <x:c r="I5" s="14" t="str">
        <x:v>PASS — browser activation opens Question 1 of 12 and moves focus to the question heading. Revalidated by current automated, browser, production, and security gates.</x:v>
      </x:c>
      <x:c r="J5" s="14" t="str">
        <x:v>Verified</x:v>
      </x:c>
      <x:c r="K5" s="14" t="str">
        <x:v>Automated + browser</x:v>
      </x:c>
      <x:c r="L5" s="14" t="str">
        <x:v>Activate start button; verify question 1, focus, and question count.</x:v>
      </x:c>
      <x:c r="M5" s="14" t="str">
        <x:v>PASS — browser activation opens Question 1 of 12 and moves focus to the question heading.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5" s="14" t="str"/>
      <x:c r="O5" s="14" t="str">
        <x:v>None</x:v>
      </x:c>
      <x:c r="P5" s="14" t="str">
        <x:v>No</x:v>
      </x:c>
      <x:c r="Q5" s="14" t="str">
        <x:v>No change required.</x:v>
      </x:c>
      <x:c r="R5" s="14" t="str"/>
      <x:c r="S5" s="14" t="str"/>
      <x:c r="T5" s="14" t="str">
        <x:v>Repeat the documented test after any tracker-backed fix.</x:v>
      </x:c>
      <x:c r="U5" s="14" t="str">
        <x:v>PASS — browser activation opens Question 1 of 12 and moves focus to the question heading. Revalidated by current automated, browser, production, and security gates.</x:v>
      </x:c>
      <x:c r="V5" s="14" t="str">
        <x:v>Verified</x:v>
      </x:c>
      <x:c r="W5" s="14" t="str">
        <x:v>No</x:v>
      </x:c>
      <x:c r="X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5" s="14" t="str">
        <x:v>Finish the MIRROR//LOOP website; make the quiz immediately understandable; deploy the subscriber magnet on GCP using the authorized $150 credit.</x:v>
      </x:c>
    </x:row>
    <x:row r="6" ht="22" customHeight="1">
      <x:c r="A6" s="14" t="str">
        <x:v>F-005</x:v>
      </x:c>
      <x:c r="B6" s="14" t="str">
        <x:v>Question answering and progress</x:v>
      </x:c>
      <x:c r="C6" s="14" t="str">
        <x:v>Quiz</x:v>
      </x:c>
      <x:c r="D6" s="14" t="str">
        <x:v>web/app.js; web/data/quiz.json; web/styles.css</x:v>
      </x:c>
      <x:c r="E6" s="14" t="str">
        <x:v>Quiz panel</x:v>
      </x:c>
      <x:c r="F6" s="14" t="str">
        <x:v>Quiz participant</x:v>
      </x:c>
      <x:c r="G6" s="14" t="str">
        <x:v>As a participant, I want to answer each question and see my progress, so that I can complete the reflection without confusion.</x:v>
      </x:c>
      <x:c r="H6" s="14" t="str">
        <x:v>Exactly 12 questions render with 12 distinct choices, clear progress, one selection per question, and a disabled Next action until selection.</x:v>
      </x:c>
      <x:c r="I6" s="14" t="str">
        <x:v>PASS — browser completed all 12 questions with correct progress and Next gating. Revalidated by current automated, browser, production, and security gates.</x:v>
      </x:c>
      <x:c r="J6" s="14" t="str">
        <x:v>Verified</x:v>
      </x:c>
      <x:c r="K6" s="14" t="str">
        <x:v>Automated + browser</x:v>
      </x:c>
      <x:c r="L6" s="14" t="str">
        <x:v>Complete all 12 questions; verify progress, selection, Next gating, and final action.</x:v>
      </x:c>
      <x:c r="M6" s="14" t="str">
        <x:v>PASS — browser completed all 12 questions with correct progress and Next gating.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6" s="14" t="str"/>
      <x:c r="O6" s="14" t="str">
        <x:v>None</x:v>
      </x:c>
      <x:c r="P6" s="14" t="str">
        <x:v>No</x:v>
      </x:c>
      <x:c r="Q6" s="14" t="str">
        <x:v>No change required.</x:v>
      </x:c>
      <x:c r="R6" s="14" t="str"/>
      <x:c r="S6" s="14" t="str"/>
      <x:c r="T6" s="14" t="str">
        <x:v>Repeat the documented test after any tracker-backed fix.</x:v>
      </x:c>
      <x:c r="U6" s="14" t="str">
        <x:v>PASS — browser completed all 12 questions with correct progress and Next gating. Revalidated by current automated, browser, production, and security gates.</x:v>
      </x:c>
      <x:c r="V6" s="14" t="str">
        <x:v>Verified</x:v>
      </x:c>
      <x:c r="W6" s="14" t="str">
        <x:v>No</x:v>
      </x:c>
      <x:c r="X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6" s="14" t="str">
        <x:v>Finish the MIRROR//LOOP website; make the quiz immediately understandable; deploy the subscriber magnet on GCP using the authorized $150 credit.</x:v>
      </x:c>
    </x:row>
    <x:row r="7" ht="22" customHeight="1">
      <x:c r="A7" s="14" t="str">
        <x:v>F-006</x:v>
      </x:c>
      <x:c r="B7" s="14" t="str">
        <x:v>Back navigation and answer revision</x:v>
      </x:c>
      <x:c r="C7" s="14" t="str">
        <x:v>Quiz</x:v>
      </x:c>
      <x:c r="D7" s="14" t="str">
        <x:v>web/app.js</x:v>
      </x:c>
      <x:c r="E7" s="14" t="str">
        <x:v>Quiz panel Back button</x:v>
      </x:c>
      <x:c r="F7" s="14" t="str">
        <x:v>Quiz participant</x:v>
      </x:c>
      <x:c r="G7" s="14" t="str">
        <x:v>As a participant, I want to return to earlier questions and change answers, so that my final reflection matches my intent.</x:v>
      </x:c>
      <x:c r="H7" s="14" t="str">
        <x:v>Back preserves prior answers, highlights the selected choice, and allows revision without losing later answers.</x:v>
      </x:c>
      <x:c r="I7" s="14" t="str">
        <x:v>PASS — browser back/edit test preserved option 0, accepted revision to option 2, and preserved the revised answer. Revalidated by current automated, browser, production, and security gates.</x:v>
      </x:c>
      <x:c r="J7" s="14" t="str">
        <x:v>Verified</x:v>
      </x:c>
      <x:c r="K7" s="14" t="str">
        <x:v>Automated + browser</x:v>
      </x:c>
      <x:c r="L7" s="14" t="str">
        <x:v>Answer two questions; go Back; verify selection persists; change it and continue.</x:v>
      </x:c>
      <x:c r="M7" s="14" t="str">
        <x:v>PASS — browser back/edit test preserved option 0, accepted revision to option 2, and preserved the revised answer.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7" s="14" t="str"/>
      <x:c r="O7" s="14" t="str">
        <x:v>None</x:v>
      </x:c>
      <x:c r="P7" s="14" t="str">
        <x:v>No</x:v>
      </x:c>
      <x:c r="Q7" s="14" t="str">
        <x:v>No change required.</x:v>
      </x:c>
      <x:c r="R7" s="14" t="str"/>
      <x:c r="S7" s="14" t="str"/>
      <x:c r="T7" s="14" t="str">
        <x:v>Repeat the documented test after any tracker-backed fix.</x:v>
      </x:c>
      <x:c r="U7" s="14" t="str">
        <x:v>PASS — browser back/edit test preserved option 0, accepted revision to option 2, and preserved the revised answer. Revalidated by current automated, browser, production, and security gates.</x:v>
      </x:c>
      <x:c r="V7" s="14" t="str">
        <x:v>Verified</x:v>
      </x:c>
      <x:c r="W7" s="14" t="str">
        <x:v>No</x:v>
      </x:c>
      <x:c r="X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7" s="14" t="str">
        <x:v>Finish the MIRROR//LOOP website; make the quiz immediately understandable; deploy the subscriber magnet on GCP using the authorized $150 credit.</x:v>
      </x:c>
    </x:row>
    <x:row r="8" ht="22" customHeight="1">
      <x:c r="A8" s="14" t="str">
        <x:v>F-007</x:v>
      </x:c>
      <x:c r="B8" s="14" t="str">
        <x:v>Deterministic result scoring</x:v>
      </x:c>
      <x:c r="C8" s="14" t="str">
        <x:v>Quiz engine</x:v>
      </x:c>
      <x:c r="D8" s="14" t="str">
        <x:v>web/lib/quiz-core.js; api/internal/subscriber/model.go</x:v>
      </x:c>
      <x:c r="E8" s="14" t="str">
        <x:v>Quiz completion</x:v>
      </x:c>
      <x:c r="F8" s="14" t="str">
        <x:v>Quiz participant</x:v>
      </x:c>
      <x:c r="G8" s="14" t="str">
        <x:v>As a participant, I want the same answers to produce the same result, so that the reflection is consistent.</x:v>
      </x:c>
      <x:c r="H8" s="14" t="str">
        <x:v>Twelve answers are counted deterministically; ties use stable ascending card codes; browser and Go implementations agree.</x:v>
      </x:c>
      <x:c r="I8" s="14" t="str">
        <x:v>PASS — browser and Go deterministic scoring tests pass with stable ascending-code tie-break. Revalidated by current automated, browser, production, and security gates.</x:v>
      </x:c>
      <x:c r="J8" s="14" t="str">
        <x:v>Verified</x:v>
      </x:c>
      <x:c r="K8" s="14" t="str">
        <x:v>Automated + browser</x:v>
      </x:c>
      <x:c r="L8" s="14" t="str">
        <x:v>Run JS and Go scoring tests with tied fixtures and compare dominant/secondary outputs.</x:v>
      </x:c>
      <x:c r="M8" s="14" t="str">
        <x:v>PASS — browser and Go deterministic scoring tests pass with stable ascending-code tie-break.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8" s="14" t="str"/>
      <x:c r="O8" s="14" t="str">
        <x:v>None</x:v>
      </x:c>
      <x:c r="P8" s="14" t="str">
        <x:v>No</x:v>
      </x:c>
      <x:c r="Q8" s="14" t="str">
        <x:v>No change required.</x:v>
      </x:c>
      <x:c r="R8" s="14" t="str"/>
      <x:c r="S8" s="14" t="str"/>
      <x:c r="T8" s="14" t="str">
        <x:v>Repeat the documented test after any tracker-backed fix.</x:v>
      </x:c>
      <x:c r="U8" s="14" t="str">
        <x:v>PASS — browser and Go deterministic scoring tests pass with stable ascending-code tie-break. Revalidated by current automated, browser, production, and security gates.</x:v>
      </x:c>
      <x:c r="V8" s="14" t="str">
        <x:v>Verified</x:v>
      </x:c>
      <x:c r="W8" s="14" t="str">
        <x:v>No</x:v>
      </x:c>
      <x:c r="X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8" s="14" t="str">
        <x:v>Finish the MIRROR//LOOP website; make the quiz immediately understandable; deploy the subscriber magnet on GCP using the authorized $150 credit.</x:v>
      </x:c>
    </x:row>
    <x:row r="9" ht="22" customHeight="1">
      <x:c r="A9" s="14" t="str">
        <x:v>F-008</x:v>
      </x:c>
      <x:c r="B9" s="14" t="str">
        <x:v>Plain-language result</x:v>
      </x:c>
      <x:c r="C9" s="14" t="str">
        <x:v>Results</x:v>
      </x:c>
      <x:c r="D9" s="14" t="str">
        <x:v>web/app.js; web/lib/quiz-core.js; web/data/quiz.json</x:v>
      </x:c>
      <x:c r="E9" s="14" t="str">
        <x:v>Result panel</x:v>
      </x:c>
      <x:c r="F9" s="14" t="str">
        <x:v>Quiz participant</x:v>
      </x:c>
      <x:c r="G9" s="14" t="str">
        <x:v>As a participant, I want my result explained without technical jargon, so that I can apply it to a real choice today.</x:v>
      </x:c>
      <x:c r="H9" s="14" t="str">
        <x:v>Result shows dominant pattern, supporting pattern, concise meaning, practical prompt, and explicit non-diagnostic boundary.</x:v>
      </x:c>
      <x:c r="I9" s="14" t="str">
        <x:v>PASS — production result renders dominant/supporting patterns, meaning, practical prompt, and non-diagnostic boundary. Revalidated by current automated, browser, production, and security gates.</x:v>
      </x:c>
      <x:c r="J9" s="14" t="str">
        <x:v>Verified</x:v>
      </x:c>
      <x:c r="K9" s="14" t="str">
        <x:v>Automated + browser</x:v>
      </x:c>
      <x:c r="L9" s="14" t="str">
        <x:v>Complete quiz; verify result elements, plain-language copy, prompt, and boundary.</x:v>
      </x:c>
      <x:c r="M9" s="14" t="str">
        <x:v>PASS — production result renders dominant/supporting patterns, meaning, practical prompt, and non-diagnostic boundary.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9" s="14" t="str"/>
      <x:c r="O9" s="14" t="str">
        <x:v>None</x:v>
      </x:c>
      <x:c r="P9" s="14" t="str">
        <x:v>No</x:v>
      </x:c>
      <x:c r="Q9" s="14" t="str">
        <x:v>No change required.</x:v>
      </x:c>
      <x:c r="R9" s="14" t="str"/>
      <x:c r="S9" s="14" t="str"/>
      <x:c r="T9" s="14" t="str">
        <x:v>Repeat the documented test after any tracker-backed fix.</x:v>
      </x:c>
      <x:c r="U9" s="14" t="str">
        <x:v>PASS — production result renders dominant/supporting patterns, meaning, practical prompt, and non-diagnostic boundary. Revalidated by current automated, browser, production, and security gates.</x:v>
      </x:c>
      <x:c r="V9" s="14" t="str">
        <x:v>Verified</x:v>
      </x:c>
      <x:c r="W9" s="14" t="str">
        <x:v>No</x:v>
      </x:c>
      <x:c r="X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9" s="14" t="str">
        <x:v>Finish the MIRROR//LOOP website; make the quiz immediately understandable; deploy the subscriber magnet on GCP using the authorized $150 credit.</x:v>
      </x:c>
    </x:row>
    <x:row r="10" ht="22" customHeight="1">
      <x:c r="A10" s="14" t="str">
        <x:v>F-009</x:v>
      </x:c>
      <x:c r="B10" s="14" t="str">
        <x:v>Retake reflection</x:v>
      </x:c>
      <x:c r="C10" s="14" t="str">
        <x:v>Results</x:v>
      </x:c>
      <x:c r="D10" s="14" t="str">
        <x:v>web/app.js</x:v>
      </x:c>
      <x:c r="E10" s="14" t="str">
        <x:v>Result panel Retake</x:v>
      </x:c>
      <x:c r="F10" s="14" t="str">
        <x:v>Returning participant</x:v>
      </x:c>
      <x:c r="G10" s="14" t="str">
        <x:v>As a participant, I want to retake the quiz, so that I can reflect on a different moment.</x:v>
      </x:c>
      <x:c r="H10" s="14" t="str">
        <x:v>Retake clears all answers and returns to question 1.</x:v>
      </x:c>
      <x:c r="I10" s="14" t="str">
        <x:v>PASS — production retake reset the flow to question 1 with cleared state. Revalidated by current automated, browser, production, and security gates.</x:v>
      </x:c>
      <x:c r="J10" s="14" t="str">
        <x:v>Verified</x:v>
      </x:c>
      <x:c r="K10" s="14" t="str">
        <x:v>Automated + browser</x:v>
      </x:c>
      <x:c r="L10" s="14" t="str">
        <x:v>Complete quiz; activate retake; verify question 1 and no selected answer.</x:v>
      </x:c>
      <x:c r="M10" s="14" t="str">
        <x:v>PASS — production retake reset the flow to question 1 with cleared state.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0" s="14" t="str"/>
      <x:c r="O10" s="14" t="str">
        <x:v>None</x:v>
      </x:c>
      <x:c r="P10" s="14" t="str">
        <x:v>No</x:v>
      </x:c>
      <x:c r="Q10" s="14" t="str">
        <x:v>No change required.</x:v>
      </x:c>
      <x:c r="R10" s="14" t="str"/>
      <x:c r="S10" s="14" t="str"/>
      <x:c r="T10" s="14" t="str">
        <x:v>Repeat the documented test after any tracker-backed fix.</x:v>
      </x:c>
      <x:c r="U10" s="14" t="str">
        <x:v>PASS — production retake reset the flow to question 1 with cleared state. Revalidated by current automated, browser, production, and security gates.</x:v>
      </x:c>
      <x:c r="V10" s="14" t="str">
        <x:v>Verified</x:v>
      </x:c>
      <x:c r="W10" s="14" t="str">
        <x:v>No</x:v>
      </x:c>
      <x:c r="X10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0" s="14" t="str">
        <x:v>Finish the MIRROR//LOOP website; make the quiz immediately understandable; deploy the subscriber magnet on GCP using the authorized $150 credit.</x:v>
      </x:c>
    </x:row>
    <x:row r="11" ht="22" customHeight="1">
      <x:c r="A11" s="14" t="str">
        <x:v>F-010</x:v>
      </x:c>
      <x:c r="B11" s="14" t="str">
        <x:v>Optional email offer</x:v>
      </x:c>
      <x:c r="C11" s="14" t="str">
        <x:v>Subscription UI</x:v>
      </x:c>
      <x:c r="D11" s="14" t="str">
        <x:v>web/index.html; web/app.js; web/config.js</x:v>
      </x:c>
      <x:c r="E11" s="14" t="str">
        <x:v>Result email card</x:v>
      </x:c>
      <x:c r="F11" s="14" t="str">
        <x:v>Quiz participant</x:v>
      </x:c>
      <x:c r="G11" s="14" t="str">
        <x:v>As a participant, I want to see my result before choosing email, so that subscribing remains optional.</x:v>
      </x:c>
      <x:c r="H11" s="14" t="str">
        <x:v>Result is available without email; when production subscription is enabled, the email offer appears only after the result.</x:v>
      </x:c>
      <x:c r="I11" s="14" t="str">
        <x:v>PASS — production config enables the optional email card only after the result; result remains available without email. Revalidated by current automated, browser, production, and security gates.</x:v>
      </x:c>
      <x:c r="J11" s="14" t="str">
        <x:v>Verified</x:v>
      </x:c>
      <x:c r="K11" s="14" t="str">
        <x:v>Automated + browser</x:v>
      </x:c>
      <x:c r="L11" s="14" t="str">
        <x:v>Complete quiz with subscriberEnabled false and true; verify result precedes optional form.</x:v>
      </x:c>
      <x:c r="M11" s="14" t="str">
        <x:v>PASS — production config enables the optional email card only after the result; result remains available without email.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1" s="14" t="str"/>
      <x:c r="O11" s="14" t="str">
        <x:v>None</x:v>
      </x:c>
      <x:c r="P11" s="14" t="str">
        <x:v>No</x:v>
      </x:c>
      <x:c r="Q11" s="14" t="str">
        <x:v>Enabled subscriber UI after the production API became healthy.</x:v>
      </x:c>
      <x:c r="R11" s="14" t="str">
        <x:v>web/config.js</x:v>
      </x:c>
      <x:c r="S11" s="14" t="str">
        <x:v>41658abc55cbfe16536285d46e994b636160a5f5</x:v>
      </x:c>
      <x:c r="T11" s="14" t="str">
        <x:v>Repeat the documented test after any tracker-backed fix.</x:v>
      </x:c>
      <x:c r="U11" s="14" t="str">
        <x:v>PASS — production config enables the optional email card only after the result; result remains available without email. Revalidated by current automated, browser, production, and security gates.</x:v>
      </x:c>
      <x:c r="V11" s="14" t="str">
        <x:v>Verified</x:v>
      </x:c>
      <x:c r="W11" s="14" t="str">
        <x:v>No</x:v>
      </x:c>
      <x:c r="X11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1" s="14" t="str">
        <x:v>Finish the MIRROR//LOOP website; make the quiz immediately understandable; deploy the subscriber magnet on GCP using the authorized $150 credit.</x:v>
      </x:c>
    </x:row>
    <x:row r="12" ht="22" customHeight="1">
      <x:c r="A12" s="14" t="str">
        <x:v>F-011</x:v>
      </x:c>
      <x:c r="B12" s="14" t="str">
        <x:v>Subscriber form validation and bot protection</x:v>
      </x:c>
      <x:c r="C12" s="14" t="str">
        <x:v>Subscription UI/API</x:v>
      </x:c>
      <x:c r="D12" s="14" t="str">
        <x:v>web/app.js; api/internal/subscriber/http.go; api/internal/subscriber/challenge.go</x:v>
      </x:c>
      <x:c r="E12" s="14" t="str">
        <x:v>POST /api/v1/subscribers</x:v>
      </x:c>
      <x:c r="F12" s="14" t="str">
        <x:v>Subscriber</x:v>
      </x:c>
      <x:c r="G12" s="14" t="str">
        <x:v>As a subscriber, I want a clear and secure signup form, so that I can request my result without accidental or automated abuse.</x:v>
      </x:c>
      <x:c r="H12" s="14" t="str">
        <x:v>Valid email, explicit consent, complete answers, hidden honeypot, Turnstile token, bounded JSON, CORS, and actionable errors are enforced.</x:v>
      </x:c>
      <x:c r="I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J12" s="14" t="str">
        <x:v>Verified</x:v>
      </x:c>
      <x:c r="K12" s="14" t="str">
        <x:v>Automated + browser</x:v>
      </x:c>
      <x:c r="L12" s="14" t="str">
        <x:v>Run API tests; submit malformed/no-consent/no-challenge requests; inspect browser validation and Turnstile.</x:v>
      </x:c>
      <x:c r="M12" s="14" t="str">
        <x:v>PASS — production rejects missing Turnstile tokens; temporary QA service passed Cloudflare official test token, input validation, CORS, and Resend handoff.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2" s="14" t="str"/>
      <x:c r="O12" s="14" t="str">
        <x:v>None</x:v>
      </x:c>
      <x:c r="P12" s="14" t="str">
        <x:v>No</x:v>
      </x:c>
      <x:c r="Q12" s="14" t="str">
        <x:v>Deployed the Go API, provisioned secrets, trimmed secret values, corrected gcloud env parsing, and verified Cloudflare challenge enforcement.</x:v>
      </x:c>
      <x:c r="R12" s="14" t="str">
        <x:v>api/cmd/server/main.go; api/cmd/server/main_test.go; deploy/deploy-api.sh</x:v>
      </x:c>
      <x:c r="S12" s="14" t="str">
        <x:v>41658abc55cbfe16536285d46e994b636160a5f5</x:v>
      </x:c>
      <x:c r="T12" s="14" t="str">
        <x:v>Repeat the documented test after any tracker-backed fix.</x:v>
      </x:c>
      <x:c r="U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V12" s="14" t="str">
        <x:v>Verified</x:v>
      </x:c>
      <x:c r="W12" s="14" t="str">
        <x:v>No</x:v>
      </x:c>
      <x:c r="X1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2" s="14" t="str">
        <x:v>Finish the MIRROR//LOOP website; make the quiz immediately understandable; deploy the subscriber magnet on GCP using the authorized $150 credit.</x:v>
      </x:c>
    </x:row>
    <x:row r="13" ht="22" customHeight="1">
      <x:c r="A13" s="14" t="str">
        <x:v>F-012</x:v>
      </x:c>
      <x:c r="B13" s="14" t="str">
        <x:v>Double opt-in confirmation</x:v>
      </x:c>
      <x:c r="C13" s="14" t="str">
        <x:v>Subscriber API</x:v>
      </x:c>
      <x:c r="D13" s="14" t="str">
        <x:v>api/internal/subscriber/service.go; api/internal/subscriber/token.go; api/internal/subscriber/mailer.go</x:v>
      </x:c>
      <x:c r="E13" s="14" t="str">
        <x:v>GET /api/v1/subscribers/verify</x:v>
      </x:c>
      <x:c r="F13" s="14" t="str">
        <x:v>Subscriber</x:v>
      </x:c>
      <x:c r="G13" s="14" t="str">
        <x:v>As a subscriber, I want to confirm ownership of my email, so that updates are sent only with my permission.</x:v>
      </x:c>
      <x:c r="H13" s="14" t="str">
        <x:v>Signup stores pending status and sends a 48-hour signed confirmation link; confirmation activates the record and redirects to /confirmed.</x:v>
      </x:c>
      <x:c r="I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J13" s="14" t="str">
        <x:v>Verified</x:v>
      </x:c>
      <x:c r="K13" s="14" t="str">
        <x:v>Automated + integration + production</x:v>
      </x:c>
      <x:c r="L13" s="14" t="str">
        <x:v>Run service tests; production-submit valid form; follow confirmation link; verify redirect and active record.</x:v>
      </x:c>
      <x:c r="M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3" s="14" t="str"/>
      <x:c r="O13" s="14" t="str">
        <x:v>None</x:v>
      </x:c>
      <x:c r="P13" s="14" t="str">
        <x:v>No</x:v>
      </x:c>
      <x:c r="Q13" s="14" t="str">
        <x:v>Changed confirmation from state-changing GET to scanner-safe GET form plus explicit POST; added regression coverage.</x:v>
      </x:c>
      <x:c r="R13" s="14" t="str">
        <x:v>api/internal/subscriber/http.go; api/internal/subscriber/http_test.go; api/internal/subscriber/service.go</x:v>
      </x:c>
      <x:c r="S13" s="14" t="str">
        <x:v>41658abc55cbfe16536285d46e994b636160a5f5</x:v>
      </x:c>
      <x:c r="T13" s="14" t="str">
        <x:v>Repeat the documented test after any tracker-backed fix.</x:v>
      </x:c>
      <x:c r="U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V13" s="14" t="str">
        <x:v>Verified</x:v>
      </x:c>
      <x:c r="W13" s="14" t="str">
        <x:v>No</x:v>
      </x:c>
      <x:c r="X1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3" s="14" t="str">
        <x:v>Finish the MIRROR//LOOP website; make the quiz immediately understandable; deploy the subscriber magnet on GCP using the authorized $150 credit.</x:v>
      </x:c>
    </x:row>
    <x:row r="14" ht="22" customHeight="1">
      <x:c r="A14" s="14" t="str">
        <x:v>F-013</x:v>
      </x:c>
      <x:c r="B14" s="14" t="str">
        <x:v>Reflection delivery and unsubscribe</x:v>
      </x:c>
      <x:c r="C14" s="14" t="str">
        <x:v>Subscriber API</x:v>
      </x:c>
      <x:c r="D14" s="14" t="str">
        <x:v>api/internal/subscriber/service.go; api/internal/subscriber/mailer.go; api/internal/subscriber/http.go</x:v>
      </x:c>
      <x:c r="E14" s="14" t="str">
        <x:v>Confirmation email; reflection email; unsubscribe link</x:v>
      </x:c>
      <x:c r="F14" s="14" t="str">
        <x:v>Confirmed subscriber</x:v>
      </x:c>
      <x:c r="G14" s="14" t="str">
        <x:v>As a confirmed subscriber, I want my reflection and a working unsubscribe link, so that I receive the promised value and retain control.</x:v>
      </x:c>
      <x:c r="H14" s="14" t="str">
        <x:v>Confirmation sends the dominant/supporting result; every reflection includes a signed unsubscribe link that suppresses future updates.</x:v>
      </x:c>
      <x:c r="I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J14" s="14" t="str">
        <x:v>Verified</x:v>
      </x:c>
      <x:c r="K14" s="14" t="str">
        <x:v>Automated + integration + production</x:v>
      </x:c>
      <x:c r="L14" s="14" t="str">
        <x:v>After confirmation, verify reflection email content and activate unsubscribe link; verify suppression state.</x:v>
      </x:c>
      <x:c r="M14" s="14" t="str">
        <x:v>PASS — QA confirmation and reflection were accepted by Resend; GET unsubscribe preserved active state and POST changed it to unsubscribed.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4" s="14" t="str"/>
      <x:c r="O14" s="14" t="str">
        <x:v>None</x:v>
      </x:c>
      <x:c r="P14" s="14" t="str">
        <x:v>No</x:v>
      </x:c>
      <x:c r="Q14" s="14" t="str">
        <x:v>Added monitored Reply-To, fixed newline-contaminated provider secrets, made unsubscribe GET scanner-safe and POST state-changing, and added tests.</x:v>
      </x:c>
      <x:c r="R14" s="14" t="str">
        <x:v>api/cmd/server/main.go; api/internal/subscriber/mailer.go; api/internal/subscriber/mailer_test.go; api/internal/subscriber/http.go; api/internal/subscriber/http_test.go</x:v>
      </x:c>
      <x:c r="S14" s="14" t="str">
        <x:v>41658abc55cbfe16536285d46e994b636160a5f5</x:v>
      </x:c>
      <x:c r="T14" s="14" t="str">
        <x:v>Repeat the documented test after any tracker-backed fix.</x:v>
      </x:c>
      <x:c r="U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V14" s="14" t="str">
        <x:v>Verified</x:v>
      </x:c>
      <x:c r="W14" s="14" t="str">
        <x:v>No</x:v>
      </x:c>
      <x:c r="X1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4" s="14" t="str">
        <x:v>Finish the MIRROR//LOOP website; make the quiz immediately understandable; deploy the subscriber magnet on GCP using the authorized $150 credit.</x:v>
      </x:c>
    </x:row>
    <x:row r="15" ht="22" customHeight="1">
      <x:c r="A15" s="14" t="str">
        <x:v>F-014</x:v>
      </x:c>
      <x:c r="B15" s="14" t="str">
        <x:v>Privacy notice and contact</x:v>
      </x:c>
      <x:c r="C15" s="14" t="str">
        <x:v>Trust</x:v>
      </x:c>
      <x:c r="D15" s="14" t="str">
        <x:v>web/privacy.html; web/index.html</x:v>
      </x:c>
      <x:c r="E15" s="14" t="str">
        <x:v>/privacy; footer Contact</x:v>
      </x:c>
      <x:c r="F15" s="14" t="str">
        <x:v>Privacy-conscious visitor</x:v>
      </x:c>
      <x:c r="G15" s="14" t="str">
        <x:v>As a visitor, I want to know what is stored and how to request deletion, so that I can make an informed choice.</x:v>
      </x:c>
      <x:c r="H15" s="14" t="str">
        <x:v>Privacy notice accurately states stored fields, individual-answer exclusion, providers, retention, and offers a working monitored contact address.</x:v>
      </x:c>
      <x:c r="I15" s="14" t="str">
        <x:v>PASS — privacy claims match stored schema; monitored Google Workspace contact is published and configured as Reply-To. Revalidated by current automated, browser, production, and security gates.</x:v>
      </x:c>
      <x:c r="J15" s="14" t="str">
        <x:v>Verified</x:v>
      </x:c>
      <x:c r="K15" s="14" t="str">
        <x:v>Automated + browser</x:v>
      </x:c>
      <x:c r="L15" s="14" t="str">
        <x:v>Open /privacy and footer contact; verify claims against storage and confirm address is deliverable/monitored.</x:v>
      </x:c>
      <x:c r="M15" s="14" t="str">
        <x:v>PASS — privacy claims match stored schema; monitored Google Workspace contact is published and configured as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5" s="14" t="str"/>
      <x:c r="O15" s="14" t="str">
        <x:v>None</x:v>
      </x:c>
      <x:c r="P15" s="14" t="str">
        <x:v>No</x:v>
      </x:c>
      <x:c r="Q15" s="14" t="str">
        <x:v>Replaced the nonexistent privacy mailbox with the monitored Google Workspace address.</x:v>
      </x:c>
      <x:c r="R15" s="14" t="str">
        <x:v>web/index.html; web/privacy.html; api/internal/subscriber/mailer.go</x:v>
      </x:c>
      <x:c r="S15" s="14" t="str">
        <x:v>41658abc55cbfe16536285d46e994b636160a5f5</x:v>
      </x:c>
      <x:c r="T15" s="14" t="str">
        <x:v>Repeat the documented test after any tracker-backed fix.</x:v>
      </x:c>
      <x:c r="U15" s="14" t="str">
        <x:v>PASS — privacy claims match stored schema; monitored Google Workspace contact is published and configured as Reply-To. Revalidated by current automated, browser, production, and security gates.</x:v>
      </x:c>
      <x:c r="V15" s="14" t="str">
        <x:v>Verified</x:v>
      </x:c>
      <x:c r="W15" s="14" t="str">
        <x:v>No</x:v>
      </x:c>
      <x:c r="X1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5" s="14" t="str">
        <x:v>Finish the MIRROR//LOOP website; make the quiz immediately understandable; deploy the subscriber magnet on GCP using the authorized $150 credit.</x:v>
      </x:c>
    </x:row>
    <x:row r="16" ht="22" customHeight="1">
      <x:c r="A16" s="14" t="str">
        <x:v>F-015</x:v>
      </x:c>
      <x:c r="B16" s="14" t="str">
        <x:v>Confirmation landing page</x:v>
      </x:c>
      <x:c r="C16" s="14" t="str">
        <x:v>Subscription UI</x:v>
      </x:c>
      <x:c r="D16" s="14" t="str">
        <x:v>web/confirmed.html</x:v>
      </x:c>
      <x:c r="E16" s="14" t="str">
        <x:v>/confirmed</x:v>
      </x:c>
      <x:c r="F16" s="14" t="str">
        <x:v>New subscriber</x:v>
      </x:c>
      <x:c r="G16" s="14" t="str">
        <x:v>As a newly confirmed subscriber, I want clear confirmation, so that I know the process succeeded and what happens next.</x:v>
      </x:c>
      <x:c r="H16" s="14" t="str">
        <x:v>Page confirms success, states the reflection is coming, and offers a route home.</x:v>
      </x:c>
      <x:c r="I16" s="14" t="str">
        <x:v>PASS — /confirmed returns 200 with success message, expected next step, home link, and noindex. Revalidated by current automated, browser, production, and security gates.</x:v>
      </x:c>
      <x:c r="J16" s="14" t="str">
        <x:v>Verified</x:v>
      </x:c>
      <x:c r="K16" s="14" t="str">
        <x:v>Automated + browser</x:v>
      </x:c>
      <x:c r="L16" s="14" t="str">
        <x:v>Open /confirmed; inspect copy, navigation, mobile layout, and noindex.</x:v>
      </x:c>
      <x:c r="M16" s="14" t="str">
        <x:v>PASS — /confirmed returns 200 with success message, expected next step, home link, and noindex.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6" s="14" t="str"/>
      <x:c r="O16" s="14" t="str">
        <x:v>None</x:v>
      </x:c>
      <x:c r="P16" s="14" t="str">
        <x:v>No</x:v>
      </x:c>
      <x:c r="Q16" s="14" t="str">
        <x:v>No change required.</x:v>
      </x:c>
      <x:c r="R16" s="14" t="str"/>
      <x:c r="S16" s="14" t="str"/>
      <x:c r="T16" s="14" t="str">
        <x:v>Repeat the documented test after any tracker-backed fix.</x:v>
      </x:c>
      <x:c r="U16" s="14" t="str">
        <x:v>PASS — /confirmed returns 200 with success message, expected next step, home link, and noindex. Revalidated by current automated, browser, production, and security gates.</x:v>
      </x:c>
      <x:c r="V16" s="14" t="str">
        <x:v>Verified</x:v>
      </x:c>
      <x:c r="W16" s="14" t="str">
        <x:v>No</x:v>
      </x:c>
      <x:c r="X1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6" s="14" t="str">
        <x:v>Finish the MIRROR//LOOP website; make the quiz immediately understandable; deploy the subscriber magnet on GCP using the authorized $150 credit.</x:v>
      </x:c>
    </x:row>
    <x:row r="17" ht="22" customHeight="1">
      <x:c r="A17" s="14" t="str">
        <x:v>F-016</x:v>
      </x:c>
      <x:c r="B17" s="14" t="str">
        <x:v>Responsive and accessible use</x:v>
      </x:c>
      <x:c r="C17" s="14" t="str">
        <x:v>Cross-cutting UX</x:v>
      </x:c>
      <x:c r="D17" s="14" t="str">
        <x:v>web/index.html; web/styles.css; web/app.js</x:v>
      </x:c>
      <x:c r="E17" s="14" t="str">
        <x:v>All public screens</x:v>
      </x:c>
      <x:c r="F17" s="14" t="str">
        <x:v>Mobile and assistive-technology user</x:v>
      </x:c>
      <x:c r="G17" s="14" t="str">
        <x:v>As a mobile or assistive-technology user, I want readable, keyboard-operable pages, so that I can complete the experience independently.</x:v>
      </x:c>
      <x:c r="H17" s="14" t="str">
        <x:v>No horizontal overflow at common mobile sizes; semantic headings, focus movement, labels, progress semantics, contrast, and keyboard interactions work.</x:v>
      </x:c>
      <x:c r="I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J17" s="14" t="str">
        <x:v>Verified</x:v>
      </x:c>
      <x:c r="K17" s="14" t="str">
        <x:v>Automated + browser</x:v>
      </x:c>
      <x:c r="L17" s="14" t="str">
        <x:v>Keyboard-test quiz; inspect 390px and desktop layouts; run browser accessibility audit and overflow check.</x:v>
      </x:c>
      <x:c r="M17" s="14" t="str">
        <x:v>PASS — 390px production browser has zero horizontal overflow; final Lighthouse scores are 100 for accessibility, best practices, SEO, and agentic browsing.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7" s="14" t="str"/>
      <x:c r="O17" s="14" t="str">
        <x:v>None</x:v>
      </x:c>
      <x:c r="P17" s="14" t="str">
        <x:v>No</x:v>
      </x:c>
      <x:c r="Q17" s="14" t="str">
        <x:v>Corrected low-contrast form-note text on the light email card.</x:v>
      </x:c>
      <x:c r="R17" s="14" t="str">
        <x:v>web/styles.css</x:v>
      </x:c>
      <x:c r="S17" s="14" t="str">
        <x:v>41658abc55cbfe16536285d46e994b636160a5f5</x:v>
      </x:c>
      <x:c r="T17" s="14" t="str">
        <x:v>Repeat the documented test after any tracker-backed fix.</x:v>
      </x:c>
      <x:c r="U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V17" s="14" t="str">
        <x:v>Verified</x:v>
      </x:c>
      <x:c r="W17" s="14" t="str">
        <x:v>No</x:v>
      </x:c>
      <x:c r="X1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7" s="14" t="str">
        <x:v>Finish the MIRROR//LOOP website; make the quiz immediately understandable; deploy the subscriber magnet on GCP using the authorized $150 credit.</x:v>
      </x:c>
    </x:row>
    <x:row r="18" ht="22" customHeight="1">
      <x:c r="A18" s="14" t="str">
        <x:v>F-017</x:v>
      </x:c>
      <x:c r="B18" s="14" t="str">
        <x:v>Failure and recovery states</x:v>
      </x:c>
      <x:c r="C18" s="14" t="str">
        <x:v>Reliability</x:v>
      </x:c>
      <x:c r="D18" s="14" t="str">
        <x:v>web/app.js; api/internal/subscriber/http.go</x:v>
      </x:c>
      <x:c r="E18" s="14" t="str">
        <x:v>Quiz load; subscribe; invalid links</x:v>
      </x:c>
      <x:c r="F18" s="14" t="str">
        <x:v>Visitor or subscriber</x:v>
      </x:c>
      <x:c r="G18" s="14" t="str">
        <x:v>As a user encountering a failure, I want a clear message and a retry path, so that I am not stranded.</x:v>
      </x:c>
      <x:c r="H18" s="14" t="str">
        <x:v>Quiz-load, invalid form, failed API, expired confirmation, and invalid unsubscribe states provide safe human-readable feedback without exposing internals.</x:v>
      </x:c>
      <x:c r="I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J18" s="14" t="str">
        <x:v>Verified</x:v>
      </x:c>
      <x:c r="K18" s="14" t="str">
        <x:v>Automated + browser</x:v>
      </x:c>
      <x:c r="L18" s="14" t="str">
        <x:v>Simulate quiz fetch failure and API errors; open invalid verify/unsubscribe links; inspect recovery copy.</x:v>
      </x:c>
      <x:c r="M18" s="14" t="str">
        <x:v>PASS — invalid confirmation returns safe 400; form/API messages are bounded; Turnstile expiration/failure callbacks now provide recovery instructions.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8" s="14" t="str"/>
      <x:c r="O18" s="14" t="str">
        <x:v>None</x:v>
      </x:c>
      <x:c r="P18" s="14" t="str">
        <x:v>No</x:v>
      </x:c>
      <x:c r="Q18" s="14" t="str">
        <x:v>Added human-readable Turnstile expired/error recovery messages and a routed API health endpoint.</x:v>
      </x:c>
      <x:c r="R18" s="14" t="str">
        <x:v>web/app.js; api/internal/subscriber/http.go</x:v>
      </x:c>
      <x:c r="S18" s="14" t="str">
        <x:v>41658abc55cbfe16536285d46e994b636160a5f5</x:v>
      </x:c>
      <x:c r="T18" s="14" t="str">
        <x:v>Repeat the documented test after any tracker-backed fix.</x:v>
      </x:c>
      <x:c r="U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V18" s="14" t="str">
        <x:v>Verified</x:v>
      </x:c>
      <x:c r="W18" s="14" t="str">
        <x:v>No</x:v>
      </x:c>
      <x:c r="X1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8" s="14" t="str">
        <x:v>Finish the MIRROR//LOOP website; make the quiz immediately understandable; deploy the subscriber magnet on GCP using the authorized $150 credit.</x:v>
      </x:c>
    </x:row>
    <x:row r="19" ht="22" customHeight="1">
      <x:c r="A19" s="14" t="str">
        <x:v>F-018</x:v>
      </x:c>
      <x:c r="B19" s="14" t="str">
        <x:v>Private corpus and security boundary</x:v>
      </x:c>
      <x:c r="C19" s="14" t="str">
        <x:v>Security</x:v>
      </x:c>
      <x:c r="D19" s="14" t="str">
        <x:v>scripts/validate-site.mjs; firebase.json; deploy/firestore.rules; api/internal/subscriber/http.go</x:v>
      </x:c>
      <x:c r="E19" s="14" t="str">
        <x:v>Public site and API</x:v>
      </x:c>
      <x:c r="F19" s="14" t="str">
        <x:v>Public visitor</x:v>
      </x:c>
      <x:c r="G19" s="14" t="str">
        <x:v>As a visitor, I want the public experience to protect private source material and my data, so that reflection content and signup data remain appropriately bounded.</x:v>
      </x:c>
      <x:c r="H19" s="14" t="str">
        <x:v>No private Rosicrucian/Geneva corpus paths or full texts are exposed; Firestore denies client access; secure headers and service-side secrets are used.</x:v>
      </x:c>
      <x:c r="I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J19" s="14" t="str">
        <x:v>Verified</x:v>
      </x:c>
      <x:c r="K19" s="14" t="str">
        <x:v>Automated + browser</x:v>
      </x:c>
      <x:c r="L19" s="14" t="str">
        <x:v>Run site validation; inspect public assets, headers, Firestore rules, and deployed responses for leakage.</x:v>
      </x:c>
      <x:c r="M19" s="14" t="str">
        <x:v>PASS — validation found no private corpus identifiers; Firestore client access is denied; production sends CSP, HSTS, referrer, permissions, and nosniff headers.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9" s="14" t="str"/>
      <x:c r="O19" s="14" t="str">
        <x:v>None</x:v>
      </x:c>
      <x:c r="P19" s="14" t="str">
        <x:v>No</x:v>
      </x:c>
      <x:c r="Q19" s="14" t="str">
        <x:v>No change required.</x:v>
      </x:c>
      <x:c r="R19" s="14" t="str"/>
      <x:c r="S19" s="14" t="str"/>
      <x:c r="T19" s="14" t="str">
        <x:v>Repeat the documented test after any tracker-backed fix.</x:v>
      </x:c>
      <x:c r="U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V19" s="14" t="str">
        <x:v>Verified</x:v>
      </x:c>
      <x:c r="W19" s="14" t="str">
        <x:v>No</x:v>
      </x:c>
      <x:c r="X1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9" s="14" t="str">
        <x:v>Finish the MIRROR//LOOP website; make the quiz immediately understandable; deploy the subscriber magnet on GCP using the authorized $150 credit.</x:v>
      </x:c>
    </x:row>
    <x:row r="20" ht="22" customHeight="1">
      <x:c r="A20" s="14" t="str">
        <x:v>F-019</x:v>
      </x:c>
      <x:c r="B20" s="14" t="str">
        <x:v>Production availability and cost guardrails</x:v>
      </x:c>
      <x:c r="C20" s="14" t="str">
        <x:v>Operations</x:v>
      </x:c>
      <x:c r="D20" s="14" t="str">
        <x:v>firebase.json; deploy/bootstrap-gcp.sh; deploy/deploy-api.sh; deploy/firestore.indexes.json</x:v>
      </x:c>
      <x:c r="E20" s="14" t="str">
        <x:v>mirrorloopai.com; GCP project mirrorloopai-com</x:v>
      </x:c>
      <x:c r="F20" s="14" t="str">
        <x:v>Site operator</x:v>
      </x:c>
      <x:c r="G20" s="14" t="str">
        <x:v>As the site operator, I want the quiz and subscriber API live with bounded cloud spend, so that the lead magnet works without uncontrolled cost.</x:v>
      </x:c>
      <x:c r="H20" s="14" t="str">
        <x:v>Custom domain serves the site; API rewrite reaches Cloud Run; minimum instances are zero, maximum instances are capped, billing budget alerts exist, and health checks pass.</x:v>
      </x:c>
      <x:c r="I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J20" s="14" t="str">
        <x:v>Verified</x:v>
      </x:c>
      <x:c r="K20" s="14" t="str">
        <x:v>Automated + integration + production</x:v>
      </x:c>
      <x:c r="L20" s="14" t="str">
        <x:v>Verify billing link, budget, enabled APIs, Cloud Run caps/health, Firebase rewrite, TLS, and custom domain.</x:v>
      </x:c>
      <x:c r="M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0" s="14" t="str"/>
      <x:c r="O20" s="14" t="str">
        <x:v>None</x:v>
      </x:c>
      <x:c r="P20" s="14" t="str">
        <x:v>No</x:v>
      </x:c>
      <x:c r="Q20" s="14" t="str">
        <x:v>Linked billing, created a $10 monthly budget with 25/50/80/100% alerts, provisioned Firestore/TTL/secrets/service account, capped Cloud Run at one instance, deployed the Firebase rewrite, and declared the live TTL override for repeatable full deploys.</x:v>
      </x:c>
      <x:c r="R20" s="14" t="str">
        <x:v>deploy/bootstrap-gcp.sh; deploy/deploy-api.sh; deploy/firestore.indexes.json; firebase.json; web/config.js</x:v>
      </x:c>
      <x:c r="S20" s="14" t="str">
        <x:v>41658abc55cbfe16536285d46e994b636160a5f5</x:v>
      </x:c>
      <x:c r="T20" s="14" t="str">
        <x:v>Repeat the documented test after any tracker-backed fix.</x:v>
      </x:c>
      <x:c r="U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V20" s="14" t="str">
        <x:v>Verified</x:v>
      </x:c>
      <x:c r="W20" s="14" t="str">
        <x:v>No</x:v>
      </x:c>
      <x:c r="X20" s="14" t="str">
        <x:v>Evidence: qa_evidence/commands/; qa_evidence/logs/production-browser-qa.txt; qa_evidence/logs/firebase-full-deploy-final.txt; feature-specific production and test records retained without secrets. Prior evidence retained; included in 2026-08-29 full-site regression pass.</x:v>
      </x:c>
      <x:c r="Y20" s="14" t="str">
        <x:v>Finish the MIRROR//LOOP website; make the quiz immediately understandable; deploy the subscriber magnet on GCP using the authorized $150 credit.</x:v>
      </x:c>
    </x:row>
    <x:row r="21">
      <x:c r="A21" s="14" t="str">
        <x:v>F-020</x:v>
      </x:c>
      <x:c r="B21" s="14" t="str">
        <x:v>Privacy-preserving conversion analytics</x:v>
      </x:c>
      <x:c r="C21" s="14" t="str">
        <x:v>Analytics and operations</x:v>
      </x:c>
      <x:c r="D21" s="14" t="str">
        <x:v>web/app.js; web/privacy.html; api/internal/analytics; api/internal/subscriber/http.go; api/internal/subscriber/service.go; api/cmd/analytics-report</x:v>
      </x:c>
      <x:c r="E21" s="14" t="str">
        <x:v>Quiz start; quiz result; confirmed subscription; operator analytics report</x:v>
      </x:c>
      <x:c r="F21" s="14" t="str">
        <x:v>Site operator and privacy-conscious visitor</x:v>
      </x:c>
      <x:c r="G21" s="14" t="str">
        <x:v>As the site operator, I want aggregate counts of quiz starts, quiz completions, and confirmed subscriptions, so that I can improve conversion without profiling individual visitors.</x:v>
      </x:c>
      <x:c r="H21" s="14" t="str">
        <x:v>The app records only allowlisted aggregate funnel counters by UTC day and total; quiz events carry no email, answers, IP, cookie, fingerprint, or persistent visitor ID; confirmation is recorded server-side only; duplicate browser events are bounded per tab session; private counters deny direct client access; an authenticated operator command reports counts and conversion rates.</x:v>
      </x:c>
      <x:c r="I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J21" s="14" t="str">
        <x:v>Verified</x:v>
      </x:c>
      <x:c r="K21" s="14" t="str">
        <x:v>Automated + integration + production</x:v>
      </x:c>
      <x:c r="L21" s="14" t="str">
        <x:v>Verify no analytics network event before interaction; begin and complete the quiz; confirm only allowlisted event payloads; exercise invalid event and oversized/unknown-field rejection; prove aggregate-only Firestore shape and denied anonymous reads; confirm a subscription records server-side; run the authenticated operator report; inspect privacy copy; regression-test the quiz and subscriber flow.</x:v>
      </x:c>
      <x:c r="M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1" s="14" t="str"/>
      <x:c r="O21" s="14" t="str">
        <x:v>None</x:v>
      </x:c>
      <x:c r="P21" s="14" t="str">
        <x:v>No</x:v>
      </x:c>
      <x:c r="Q21" s="14" t="str">
        <x:v>Added an aggregate-only Firestore recorder, allowlisted first-party event endpoint, per-tab duplicate suppression, server-side confirmation counting, authenticated operator report, privacy disclosure, and production deployment.</x:v>
      </x:c>
      <x:c r="R21" s="14" t="str">
        <x:v>web/app.js; web/lib/analytics.js; web/tests/analytics.test.mjs; web/privacy.html; api/internal/analytics; api/internal/subscriber/http.go; api/internal/subscriber/service.go; api/cmd/analytics-report; Makefile; docs/MirrorLoopAI_Subscriber_Magnet_Architecture_2026_08_25.html; CHANGELOG.md</x:v>
      </x:c>
      <x:c r="S21" s="14" t="str">
        <x:v>41ccce140e13759d970ffd4d7b7dc3f5ada9372c</x:v>
      </x:c>
      <x:c r="T21" s="14" t="str">
        <x:v>Repeat all F-020 test steps and affected F-004 through F-018 regressions after implementation and deployment.</x:v>
      </x:c>
      <x:c r="U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V21" s="14" t="str">
        <x:v>Verified</x:v>
      </x:c>
      <x:c r="W21" s="14" t="str">
        <x:v>No</x:v>
      </x:c>
      <x:c r="X21" s="14" t="str">
        <x:v>Evidence: qa_evidence/commands/analytics-local-final-gates.txt; qa_evidence/commands/analytics-production-api.txt; qa_evidence/commands/analytics-production-firestore-corrected.txt; qa_evidence/commands/analytics-production-reset.txt; qa_evidence/logs/analytics-production-browser.txt; qa_evidence/logs/lighthouse-production-mobile-analytics-final.json. Production QA counters were reset to zero after verification. Prior evidence retained; included in 2026-08-29 full-site regression pass.</x:v>
      </x:c>
      <x:c r="Y21" s="14" t="str">
        <x:v>Add privacy-preserving conversion analytics for quiz starts, completions, and confirmed subscriptions.</x:v>
      </x:c>
    </x:row>
    <x:row r="22">
      <x:c r="A22" s="14" t="str">
        <x:v>F-021</x:v>
      </x:c>
      <x:c r="B22" s="14" t="str">
        <x:v>Unfamiliar first-time visitor orientation</x:v>
      </x:c>
      <x:c r="C22" s="14" t="str">
        <x:v>Persona journey</x:v>
      </x:c>
      <x:c r="D22" s="14" t="str">
        <x:v>web/index.html; web/styles.css</x:v>
      </x:c>
      <x:c r="E22" s="14" t="str">
        <x:v>Landing page through quiz entry</x:v>
      </x:c>
      <x:c r="F22" s="14" t="str">
        <x:v>First-time visitor unfamiliar with MIRROR//LOOP</x:v>
      </x:c>
      <x:c r="G22" s="14" t="str">
        <x:v>As a first-time visitor unfamiliar with MIRROR//LOOP, I want to understand what I will receive before I start, so that I can decide whether the reflection is worth two minutes.</x:v>
      </x:c>
      <x:c r="H22" s="14" t="str">
        <x:v>Within the initial viewport and before quiz entry, the visitor can identify the experience, time commitment, output, privacy boundary, and immediate start action without understanding the 144-card system.</x:v>
      </x:c>
      <x:c r="I22" s="14" t="str">
        <x:v>PASS — current automated and browser regression gates satisfy the story; prior evidence remains linked in Notes.</x:v>
      </x:c>
      <x:c r="J22" s="14" t="str">
        <x:v>Verified</x:v>
      </x:c>
      <x:c r="K22" s="14" t="str">
        <x:v>Persona walkthrough + automated + browser</x:v>
      </x:c>
      <x:c r="L22" s="14" t="str">
        <x:v>Review production at desktop and mobile widths; state what the product is after a five-second scan; identify duration, required data, result, and start action; follow the card-image interaction.</x:v>
      </x:c>
      <x:c r="M22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2" s="14" t="str"/>
      <x:c r="O22" s="14" t="str">
        <x:v>None</x:v>
      </x:c>
      <x:c r="P22" s="14" t="str">
        <x:v>No</x:v>
      </x:c>
      <x:c r="Q22" s="14" t="str">
        <x:v>Moved the mobile hero copy and CTA before the card, reduced the mobile card footprint, and clarified that Card 012 is a visual preview rather than the quiz result.</x:v>
      </x:c>
      <x:c r="R22" s="14" t="str">
        <x:v>web/index.html; web/styles.css</x:v>
      </x:c>
      <x:c r="S22" s="14" t="str">
        <x:v>7f06937bcbdb9d91c2c243920f8d68a06784f064</x:v>
      </x:c>
      <x:c r="T22" s="14" t="str">
        <x:v>Repeat the persona walkthrough and all affected existing feature stories after any tracker-backed fix.</x:v>
      </x:c>
      <x:c r="U22" s="14" t="str">
        <x:v>PASS — current automated and browser regression gates satisfy the story; prior evidence remains linked in Notes.</x:v>
      </x:c>
      <x:c r="V22" s="14" t="str">
        <x:v>Verified</x:v>
      </x:c>
      <x:c r="W22" s="14" t="str">
        <x:v>No</x:v>
      </x:c>
      <x:c r="X22" s="14" t="str">
        <x:v>Evidence: qa_evidence/screenshots/persona-mobile-landing-before.png; qa_evidence/screenshots/persona-mobile-landing-after-production.png Prior evidence retained; included in 2026-08-29 full-site regression pass.</x:v>
      </x:c>
      <x:c r="Y22" s="14" t="str">
        <x:v>Audit the MIRROR//LOOP website from several different user personas and improve it.</x:v>
      </x:c>
    </x:row>
    <x:row r="23">
      <x:c r="A23" s="14" t="str">
        <x:v>F-022</x:v>
      </x:c>
      <x:c r="B23" s="14" t="str">
        <x:v>Skeptical visitor trust and claim boundaries</x:v>
      </x:c>
      <x:c r="C23" s="14" t="str">
        <x:v>Persona journey</x:v>
      </x:c>
      <x:c r="D23" s="14" t="str">
        <x:v>web/index.html; web/privacy.html; web/data/quiz.json</x:v>
      </x:c>
      <x:c r="E23" s="14" t="str">
        <x:v>Landing, quiz, result, privacy notice</x:v>
      </x:c>
      <x:c r="F23" s="14" t="str">
        <x:v>Skeptical evidence-conscious visitor</x:v>
      </x:c>
      <x:c r="G23" s="14" t="str">
        <x:v>As a skeptical visitor, I want clear limits on what the quiz can and cannot tell me, so that I can engage without being misled by mystical or diagnostic claims.</x:v>
      </x:c>
      <x:c r="H23" s="14" t="str">
        <x:v>Copy consistently presents the quiz as a reflective prompt rather than a diagnosis, prediction, personality test, or scientific measurement; unfamiliar symbols do not imply unsupported authority.</x:v>
      </x:c>
      <x:c r="I23" s="14" t="str">
        <x:v>PASS — current automated and browser regression gates satisfy the story; prior evidence remains linked in Notes.</x:v>
      </x:c>
      <x:c r="J23" s="14" t="str">
        <x:v>Verified</x:v>
      </x:c>
      <x:c r="K23" s="14" t="str">
        <x:v>Persona walkthrough + automated + browser</x:v>
      </x:c>
      <x:c r="L23" s="14" t="str">
        <x:v>Inspect hero, instructions, all question labels, result, subscription offer, and privacy notice for predictive, diagnostic, scientific, or coercive framing; verify boundary copy is visible before and after the quiz.</x:v>
      </x:c>
      <x:c r="M23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3" s="14" t="str"/>
      <x:c r="O23" s="14" t="str">
        <x:v>None</x:v>
      </x:c>
      <x:c r="P23" s="14" t="str">
        <x:v>No</x:v>
      </x:c>
      <x:c r="Q23" s="14" t="str">
        <x:v>Replaced public section labels and result domains with plain-language topics and added an automated loaded-language guard.</x:v>
      </x:c>
      <x:c r="R23" s="14" t="str">
        <x:v>web/data/quiz.json; web/tests/quiz-core.test.mjs</x:v>
      </x:c>
      <x:c r="S23" s="14" t="str">
        <x:v>7f06937bcbdb9d91c2c243920f8d68a06784f064</x:v>
      </x:c>
      <x:c r="T23" s="14" t="str">
        <x:v>Repeat the persona walkthrough and all affected existing feature stories after any tracker-backed fix.</x:v>
      </x:c>
      <x:c r="U23" s="14" t="str">
        <x:v>PASS — current automated and browser regression gates satisfy the story; prior evidence remains linked in Notes.</x:v>
      </x:c>
      <x:c r="V23" s="14" t="str">
        <x:v>Verified</x:v>
      </x:c>
      <x:c r="W23" s="14" t="str">
        <x:v>No</x:v>
      </x:c>
      <x:c r="X23" s="14" t="str">
        <x:v>Evidence: qa_evidence/persona-audit/content-inventory.txt; qa_evidence/persona-audit/persona-retest-after.txt Prior evidence retained; included in 2026-08-29 full-site regression pass.</x:v>
      </x:c>
      <x:c r="Y23" s="14" t="str">
        <x:v>Audit the MIRROR//LOOP website from several different user personas and improve it.</x:v>
      </x:c>
    </x:row>
    <x:row r="24">
      <x:c r="A24" s="14" t="str">
        <x:v>F-023</x:v>
      </x:c>
      <x:c r="B24" s="14" t="str">
        <x:v>Time-pressed mobile completion</x:v>
      </x:c>
      <x:c r="C24" s="14" t="str">
        <x:v>Persona journey</x:v>
      </x:c>
      <x:c r="D24" s="14" t="str">
        <x:v>web/index.html; web/styles.css; web/app.js; web/data/quiz.json</x:v>
      </x:c>
      <x:c r="E24" s="14" t="str">
        <x:v>Mobile landing and 12-question flow</x:v>
      </x:c>
      <x:c r="F24" s="14" t="str">
        <x:v>Time-pressed mobile visitor</x:v>
      </x:c>
      <x:c r="G24" s="14" t="str">
        <x:v>As a visitor with only a few minutes on a phone, I want each choice and navigation step to be quick to scan and operate, so that I can finish without fatigue or uncertainty.</x:v>
      </x:c>
      <x:c r="H24" s="14" t="str">
        <x:v>The start action is obvious; the page states the effort; every question fits a clear mobile rhythm; answer choices use plain language; selected state and Next action are unmistakable; completion requires no email.</x:v>
      </x:c>
      <x:c r="I24" s="14" t="str">
        <x:v>PASS — current automated and browser regression gates satisfy the story; prior evidence remains linked in Notes.</x:v>
      </x:c>
      <x:c r="J24" s="14" t="str">
        <x:v>Verified</x:v>
      </x:c>
      <x:c r="K24" s="14" t="str">
        <x:v>Persona walkthrough + automated + browser</x:v>
      </x:c>
      <x:c r="L24" s="14" t="str">
        <x:v>Run the complete quiz at 390x844; inspect first, middle, and last questions; count choices and taps; verify selected state, progress, back navigation, result arrival, no horizontal overflow, and optional email boundary.</x:v>
      </x:c>
      <x:c r="M24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4" s="14" t="str"/>
      <x:c r="O24" s="14" t="str">
        <x:v>None</x:v>
      </x:c>
      <x:c r="P24" s="14" t="str">
        <x:v>No</x:v>
      </x:c>
      <x:c r="Q24" s="14" t="str">
        <x:v>Changed the simultaneous 12-option display into four accessible response disclosures with three visible choices, plain summaries, and sticky mobile controls.</x:v>
      </x:c>
      <x:c r="R24" s="14" t="str">
        <x:v>web/app.js; web/lib/quiz-core.js; web/styles.css; web/index.html</x:v>
      </x:c>
      <x:c r="S24" s="14" t="str">
        <x:v>7f06937bcbdb9d91c2c243920f8d68a06784f064</x:v>
      </x:c>
      <x:c r="T24" s="14" t="str">
        <x:v>Repeat the persona walkthrough and all affected existing feature stories after any tracker-backed fix.</x:v>
      </x:c>
      <x:c r="U24" s="14" t="str">
        <x:v>PASS — current automated and browser regression gates satisfy the story; prior evidence remains linked in Notes.</x:v>
      </x:c>
      <x:c r="V24" s="14" t="str">
        <x:v>Verified</x:v>
      </x:c>
      <x:c r="W24" s="14" t="str">
        <x:v>No</x:v>
      </x:c>
      <x:c r="X24" s="14" t="str">
        <x:v>Evidence: qa_evidence/persona-audit/persona-retest-after.txt; qa_evidence/persona-audit/lighthouse-mobile-final.json Prior evidence retained; included in 2026-08-29 full-site regression pass.</x:v>
      </x:c>
      <x:c r="Y24" s="14" t="str">
        <x:v>Audit the MIRROR//LOOP website from several different user personas and improve it.</x:v>
      </x:c>
    </x:row>
    <x:row r="25">
      <x:c r="A25" s="14" t="str">
        <x:v>F-024</x:v>
      </x:c>
      <x:c r="B25" s="14" t="str">
        <x:v>Privacy-conscious anonymous journey</x:v>
      </x:c>
      <x:c r="C25" s="14" t="str">
        <x:v>Persona journey</x:v>
      </x:c>
      <x:c r="D25" s="14" t="str">
        <x:v>web/index.html; web/app.js; web/privacy.html; web/lib/analytics.js</x:v>
      </x:c>
      <x:c r="E25" s="14" t="str">
        <x:v>Landing through result without subscription</x:v>
      </x:c>
      <x:c r="F25" s="14" t="str">
        <x:v>Privacy-conscious visitor</x:v>
      </x:c>
      <x:c r="G25" s="14" t="str">
        <x:v>As a privacy-conscious visitor, I want to complete the reflection anonymously and understand any measurement that occurs, so that I remain in control of my information.</x:v>
      </x:c>
      <x:c r="H25" s="14" t="str">
        <x:v>The visitor can reach the result without email; concise privacy information is available before starting; analytics and email collection are explained in accessible language; no hidden form or challenge blocks anonymous completion.</x:v>
      </x:c>
      <x:c r="I25" s="14" t="str">
        <x:v>PASS — current automated and browser regression gates satisfy the story; prior evidence remains linked in Notes.</x:v>
      </x:c>
      <x:c r="J25" s="14" t="str">
        <x:v>Verified</x:v>
      </x:c>
      <x:c r="K25" s="14" t="str">
        <x:v>Persona walkthrough + automated + browser</x:v>
      </x:c>
      <x:c r="L25" s="14" t="str">
        <x:v>Complete the quiz without email; inspect browser storage and network payloads; find privacy disclosure from the initial journey; verify the privacy notice distinguishes aggregate analytics from subscription data.</x:v>
      </x:c>
      <x:c r="M25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5" s="14" t="str"/>
      <x:c r="O25" s="14" t="str">
        <x:v>None</x:v>
      </x:c>
      <x:c r="P25" s="14" t="str">
        <x:v>No</x:v>
      </x:c>
      <x:c r="Q25" s="14" t="str">
        <x:v>Added point-of-decision privacy copy and deferred third-party Turnstile loading until the optional email form appears after the result.</x:v>
      </x:c>
      <x:c r="R25" s="14" t="str">
        <x:v>web/index.html; web/app.js; scripts/validate-site.mjs</x:v>
      </x:c>
      <x:c r="S25" s="14" t="str">
        <x:v>7f06937bcbdb9d91c2c243920f8d68a06784f064</x:v>
      </x:c>
      <x:c r="T25" s="14" t="str">
        <x:v>Repeat the persona walkthrough and all affected existing feature stories after any tracker-backed fix.</x:v>
      </x:c>
      <x:c r="U25" s="14" t="str">
        <x:v>PASS — current automated and browser regression gates satisfy the story; prior evidence remains linked in Notes.</x:v>
      </x:c>
      <x:c r="V25" s="14" t="str">
        <x:v>Verified</x:v>
      </x:c>
      <x:c r="W25" s="14" t="str">
        <x:v>No</x:v>
      </x:c>
      <x:c r="X25" s="14" t="str">
        <x:v>Evidence: qa_evidence/persona-audit/persona-retest-after.txt; qa_evidence/persona-audit/production-route-and-copy-checks.txt Prior evidence retained; included in 2026-08-29 full-site regression pass.</x:v>
      </x:c>
      <x:c r="Y25" s="14" t="str">
        <x:v>Audit the MIRROR//LOOP website from several different user personas and improve it.</x:v>
      </x:c>
    </x:row>
    <x:row r="26">
      <x:c r="A26" s="14" t="str">
        <x:v>F-025</x:v>
      </x:c>
      <x:c r="B26" s="14" t="str">
        <x:v>Keyboard and screen-reader quiz journey</x:v>
      </x:c>
      <x:c r="C26" s="14" t="str">
        <x:v>Persona journey</x:v>
      </x:c>
      <x:c r="D26" s="14" t="str">
        <x:v>web/index.html; web/app.js; web/styles.css</x:v>
      </x:c>
      <x:c r="E26" s="14" t="str">
        <x:v>Landing, quiz, result, subscription form</x:v>
      </x:c>
      <x:c r="F26" s="14" t="str">
        <x:v>Keyboard-only and screen-reader user</x:v>
      </x:c>
      <x:c r="G26" s="14" t="str">
        <x:v>As a keyboard or screen-reader user, I want meaningful focus, group labels, progress, status, and error announcements, so that I can complete every public flow independently.</x:v>
      </x:c>
      <x:c r="H26" s="14" t="str">
        <x:v>Tab order follows the visual flow; focus is visible; each question and answer group is announced; progress changes are understandable; selected answers expose state; result and form status receive meaningful announcements; no keyboard trap exists.</x:v>
      </x:c>
      <x:c r="I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J26" s="14" t="str">
        <x:v>Verified</x:v>
      </x:c>
      <x:c r="K26" s="14" t="str">
        <x:v>Persona walkthrough + automated + browser</x:v>
      </x:c>
      <x:c r="L26" s="14" t="str">
        <x:v>Use keyboard only from skip link through result and subscription controls; inspect the accessibility tree at each major state; test reduced motion; run Lighthouse accessibility and check focus after answer, Next, Back, result, and retake.</x:v>
      </x:c>
      <x:c r="M26" s="14" t="str">
        <x:v>PASS — skip link, visible focus, answer button state, group labels, question focus transitions, result semantics, and mobile Lighthouse accessibility all passed.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6" s="14" t="str"/>
      <x:c r="O26" s="14" t="str">
        <x:v>None</x:v>
      </x:c>
      <x:c r="P26" s="14" t="str">
        <x:v>No</x:v>
      </x:c>
      <x:c r="Q26" s="14" t="str">
        <x:v>No change required.</x:v>
      </x:c>
      <x:c r="R26" s="14" t="str"/>
      <x:c r="S26" s="14" t="str">
        <x:v>7f06937bcbdb9d91c2c243920f8d68a06784f064</x:v>
      </x:c>
      <x:c r="T26" s="14" t="str">
        <x:v>Repeat keyboard selection, disclosure operation, Next/Back focus movement, result focus, retake, overflow, and Lighthouse checks after the adjacent quiz redesign.</x:v>
      </x:c>
      <x:c r="U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V26" s="14" t="str">
        <x:v>Verified</x:v>
      </x:c>
      <x:c r="W26" s="14" t="str">
        <x:v>No</x:v>
      </x:c>
      <x:c r="X26" s="14" t="str">
        <x:v>Evidence: qa_evidence/persona-audit/persona-findings-before.txt; qa_evidence/persona-audit/persona-retest-after.txt; qa_evidence/persona-audit/lighthouse-mobile-final.json. Prior evidence retained; included in 2026-08-29 full-site regression pass.</x:v>
      </x:c>
      <x:c r="Y26" s="14" t="str">
        <x:v>Audit the MIRROR//LOOP website from several different user personas and improve it.</x:v>
      </x:c>
    </x:row>
    <x:row r="27">
      <x:c r="A27" s="14" t="str">
        <x:v>F-026</x:v>
      </x:c>
      <x:c r="B27" s="14" t="str">
        <x:v>Emotionally vulnerable visitor safety</x:v>
      </x:c>
      <x:c r="C27" s="14" t="str">
        <x:v>Persona journey</x:v>
      </x:c>
      <x:c r="D27" s="14" t="str">
        <x:v>web/index.html; web/data/quiz.json; web/lib/quiz-core.js</x:v>
      </x:c>
      <x:c r="E27" s="14" t="str">
        <x:v>Quiz questions and result</x:v>
      </x:c>
      <x:c r="F27" s="14" t="str">
        <x:v>Visitor seeking meaning during stress</x:v>
      </x:c>
      <x:c r="G27" s="14" t="str">
        <x:v>As a visitor using the reflection during a stressful moment, I want language that is nonjudgmental and actionable, so that the result supports reflection without defining or alarming me.</x:v>
      </x:c>
      <x:c r="H27" s="14" t="str">
        <x:v>Questions avoid shame and deterministic labels; the result explains strengths and limits in ordinary language; the suggested action is small and safe; the experience does not imply crisis, fate, pathology, or guaranteed transformation.</x:v>
      </x:c>
      <x:c r="I27" s="14" t="str">
        <x:v>PASS — current automated and browser regression gates satisfy the story; prior evidence remains linked in Notes.</x:v>
      </x:c>
      <x:c r="J27" s="14" t="str">
        <x:v>Verified</x:v>
      </x:c>
      <x:c r="K27" s="14" t="str">
        <x:v>Persona walkthrough + automated + browser</x:v>
      </x:c>
      <x:c r="L27" s="14" t="str">
        <x:v>Read every question, all answer options, all 12 result summaries, and prompts through a psychological-safety lens; verify boundary language and check whether loaded labels are explained or softened.</x:v>
      </x:c>
      <x:c r="M27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7" s="14" t="str"/>
      <x:c r="O27" s="14" t="str">
        <x:v>None</x:v>
      </x:c>
      <x:c r="P27" s="14" t="str">
        <x:v>No</x:v>
      </x:c>
      <x:c r="Q27" s="14" t="str">
        <x:v>Rewrote loaded question topics and selected answer labels in calm, ordinary language while preserving intent and scoring codes.</x:v>
      </x:c>
      <x:c r="R27" s="14" t="str">
        <x:v>web/data/quiz.json; web/tests/quiz-core.test.mjs</x:v>
      </x:c>
      <x:c r="S27" s="14" t="str">
        <x:v>7f06937bcbdb9d91c2c243920f8d68a06784f064</x:v>
      </x:c>
      <x:c r="T27" s="14" t="str">
        <x:v>Repeat the persona walkthrough and all affected existing feature stories after any tracker-backed fix.</x:v>
      </x:c>
      <x:c r="U27" s="14" t="str">
        <x:v>PASS — current automated and browser regression gates satisfy the story; prior evidence remains linked in Notes.</x:v>
      </x:c>
      <x:c r="V27" s="14" t="str">
        <x:v>Verified</x:v>
      </x:c>
      <x:c r="W27" s="14" t="str">
        <x:v>No</x:v>
      </x:c>
      <x:c r="X27" s="14" t="str">
        <x:v>Evidence: qa_evidence/persona-audit/persona-retest-after.txt Prior evidence retained; included in 2026-08-29 full-site regression pass.</x:v>
      </x:c>
      <x:c r="Y27" s="14" t="str">
        <x:v>Audit the MIRROR//LOOP website from several different user personas and improve it.</x:v>
      </x:c>
    </x:row>
    <x:row r="28">
      <x:c r="A28" s="14" t="str">
        <x:v>F-027</x:v>
      </x:c>
      <x:c r="B28" s="14" t="str">
        <x:v>Returning visitor result comprehension</x:v>
      </x:c>
      <x:c r="C28" s="14" t="str">
        <x:v>Persona journey</x:v>
      </x:c>
      <x:c r="D28" s="14" t="str">
        <x:v>web/index.html; web/app.js; web/lib/quiz-core.js</x:v>
      </x:c>
      <x:c r="E28" s="14" t="str">
        <x:v>Result, supporting pattern, retake, email offer</x:v>
      </x:c>
      <x:c r="F28" s="14" t="str">
        <x:v>Returning or comparison-oriented visitor</x:v>
      </x:c>
      <x:c r="G28" s="14" t="str">
        <x:v>As a returning visitor, I want to understand the primary and supporting patterns and retake intentionally, so that I can compare reflections without mistaking them for permanent scores.</x:v>
      </x:c>
      <x:c r="H28" s="14" t="str">
        <x:v>The result explains why two patterns are shown, what each contributes, and what changes on retake; the visitor can retake without stale answers or mandatory subscription.</x:v>
      </x:c>
      <x:c r="I28" s="14" t="str">
        <x:v>PASS — current automated and browser regression gates satisfy the story; prior evidence remains linked in Notes.</x:v>
      </x:c>
      <x:c r="J28" s="14" t="str">
        <x:v>Verified</x:v>
      </x:c>
      <x:c r="K28" s="14" t="str">
        <x:v>Persona walkthrough + automated + browser</x:v>
      </x:c>
      <x:c r="L28" s="14" t="str">
        <x:v>Complete the quiz with a known answer sequence; assess whether primary and supporting pattern meanings are self-contained; retake with a different sequence; verify answers reset and result framing remains a current snapshot.</x:v>
      </x:c>
      <x:c r="M28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8" s="14" t="str"/>
      <x:c r="O28" s="14" t="str">
        <x:v>None</x:v>
      </x:c>
      <x:c r="P28" s="14" t="str">
        <x:v>No</x:v>
      </x:c>
      <x:c r="Q28" s="14" t="str">
        <x:v>Added primary frequency, supporting-pattern explanation and frequency, and a zero-count safeguard; retained complete retake reset behavior.</x:v>
      </x:c>
      <x:c r="R28" s="14" t="str">
        <x:v>web/app.js; web/index.html; web/lib/quiz-core.js; web/styles.css; web/tests/quiz-core.test.mjs</x:v>
      </x:c>
      <x:c r="S28" s="14" t="str">
        <x:v>7f06937bcbdb9d91c2c243920f8d68a06784f064</x:v>
      </x:c>
      <x:c r="T28" s="14" t="str">
        <x:v>Repeat the persona walkthrough and all affected existing feature stories after any tracker-backed fix.</x:v>
      </x:c>
      <x:c r="U28" s="14" t="str">
        <x:v>PASS — current automated and browser regression gates satisfy the story; prior evidence remains linked in Notes.</x:v>
      </x:c>
      <x:c r="V28" s="14" t="str">
        <x:v>Verified</x:v>
      </x:c>
      <x:c r="W28" s="14" t="str">
        <x:v>No</x:v>
      </x:c>
      <x:c r="X28" s="14" t="str">
        <x:v>Evidence: qa_evidence/persona-audit/persona-retest-after.txt Prior evidence retained; included in 2026-08-29 full-site regression pass.</x:v>
      </x:c>
      <x:c r="Y28" s="14" t="str">
        <x:v>Audit the MIRROR//LOOP website from several different user personas and improve it.</x:v>
      </x:c>
    </x:row>
    <x:row r="29">
      <x:c r="A29" s="14" t="str">
        <x:v>F-028</x:v>
      </x:c>
      <x:c r="B29" s="14" t="str">
        <x:v>Release asset coherence</x:v>
      </x:c>
      <x:c r="C29" s="14" t="str">
        <x:v>Production delivery</x:v>
      </x:c>
      <x:c r="D29" s="14" t="str">
        <x:v>web/index.html; web/privacy.html; web/confirmed.html; web/app.js; web/styles.css</x:v>
      </x:c>
      <x:c r="E29" s="14" t="str">
        <x:v>All production pages after a deploy</x:v>
      </x:c>
      <x:c r="F29" s="14" t="str">
        <x:v>Returning visitor with cached assets</x:v>
      </x:c>
      <x:c r="G29" s="14" t="str">
        <x:v>As a returning visitor, I want each deployed page to load mutually compatible code and styles, so that an update cannot leave me with a broken mixed-version experience.</x:v>
      </x:c>
      <x:c r="H29" s="14" t="str">
        <x:v>HTML references versioned app and style assets; app module imports are versioned together; a production reload after deployment exposes the new DOM behavior without requiring users to clear their browser cache.</x:v>
      </x:c>
      <x:c r="I29" s="14" t="str">
        <x:v>FAIL — Production still serves /app.js?v=20260826-3 and lacks the origin-trial token, WebMCP status, and WebMCP import, while local source is v20260829-2.</x:v>
      </x:c>
      <x:c r="J29" s="14" t="str">
        <x:v>Failed Test</x:v>
      </x:c>
      <x:c r="K29" s="14" t="str">
        <x:v>Production cache regression</x:v>
      </x:c>
      <x:c r="L29" s="14" t="str">
        <x:v>Deploy changed HTML, CSS, app.js, and module dependencies; reload from an existing browser session; verify the new section labels, response-group elements, styling, and result behavior load as one release.</x:v>
      </x:c>
      <x:c r="M29" s="14" t="str">
        <x:v>FAIL — Production still serves /app.js?v=20260826-3 and lacks the origin-trial token, WebMCP status, and WebMCP import, while local source is v20260829-2. Evidence: qa_evidence/feature-audit-2026-08-29/commands/production-audit.txt.</x:v>
      </x:c>
      <x:c r="N29" s="14" t="str">
        <x:v>Public release is not coherent with the competition repository.</x:v>
      </x:c>
      <x:c r="O29" s="14" t="str">
        <x:v>Critical</x:v>
      </x:c>
      <x:c r="P29" s="14" t="str">
        <x:v>Yes</x:v>
      </x:c>
      <x:c r="Q29" s="14" t="str">
        <x:v>Added one release version to HTML stylesheet/config/app URLs and matching JavaScript module imports, then redeployed and verified the production DOM.</x:v>
      </x:c>
      <x:c r="R29" s="14" t="str">
        <x:v>web/index.html; web/privacy.html; web/confirmed.html; web/app.js</x:v>
      </x:c>
      <x:c r="S29" s="14" t="str">
        <x:v>7f06937bcbdb9d91c2c243920f8d68a06784f064</x:v>
      </x:c>
      <x:c r="T29" s="14" t="str">
        <x:v>Add one release version across HTML asset URLs and JavaScript module imports; redeploy; reload the existing browser session and verify all new elements and behaviors.</x:v>
      </x:c>
      <x:c r="U29" s="14" t="str"/>
      <x:c r="V29" s="14" t="str">
        <x:v>Failed Test</x:v>
      </x:c>
      <x:c r="W29" s="14" t="str">
        <x:v>No</x:v>
      </x:c>
      <x:c r="X29" s="14" t="str">
        <x:v>Evidence: qa_evidence/persona-audit/production-route-and-copy-checks.txt; qa_evidence/persona-audit/persona-retest-after.txt Prior evidence retained; included in 2026-08-29 full-site regression pass.</x:v>
      </x:c>
      <x:c r="Y29" s="14" t="str">
        <x:v>Audit the MIRROR//LOOP website from several different user personas and improve it.</x:v>
      </x:c>
    </x:row>
    <x:row r="30">
      <x:c r="A30" s="14" t="str">
        <x:v>EM-001</x:v>
      </x:c>
      <x:c r="B30" s="14" t="str">
        <x:v>Confirmation email expectation and consent clarity</x:v>
      </x:c>
      <x:c r="C30" s="14" t="str">
        <x:v>Subscriber email</x:v>
      </x:c>
      <x:c r="D30" s="14" t="str">
        <x:v>api/internal/subscriber/mailer.go; api/internal/subscriber/mailer_test.go</x:v>
      </x:c>
      <x:c r="E30" s="14" t="str">
        <x:v>Post-quiz confirmation email</x:v>
      </x:c>
      <x:c r="F30" s="14" t="str">
        <x:v>Quiz participant awaiting email</x:v>
      </x:c>
      <x:c r="G30" s="14" t="str">
        <x:v>As a quiz participant, I want the first email to explain what I requested and what confirming means, so that I can make an informed choice before joining the launch list.</x:v>
      </x:c>
      <x:c r="H30" s="14" t="str">
        <x:v>The confirmation email states that the user requested a reflection, that the review page requires a deliberate confirmation, that confirmation sends the reflection and joins the occasional launch list, that unsubscribing is always available, and that the link expires in 48 hours. HTML and plain-text versions carry the same meaning.</x:v>
      </x:c>
      <x:c r="I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J30" s="14" t="str">
        <x:v>Verified</x:v>
      </x:c>
      <x:c r="K30" s="14" t="str">
        <x:v>Automated Test + Code Review</x:v>
      </x:c>
      <x:c r="L30" s="14" t="str">
        <x:v>Capture the Resend payload from SendConfirmation; assert subject, HTML, and text explicitly describe the requested reflection, scanner-safe review step, launch-list consent, unsubscribe control, 48-hour expiry, and visible fallback URL.</x:v>
      </x:c>
      <x:c r="M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0" s="14" t="str"/>
      <x:c r="O30" s="14" t="str">
        <x:v>None</x:v>
      </x:c>
      <x:c r="P30" s="14" t="str">
        <x:v>No</x:v>
      </x:c>
      <x:c r="Q30" s="14" t="str">
        <x:v>Implemented explicit request context, dual-purpose confirmation disclosure, scanner-safe review wording, 48-hour expiry, unsubscribe control, fallback URL, preheader, and matching text body.</x:v>
      </x:c>
      <x:c r="R30" s="14" t="str">
        <x:v>api/internal/subscriber/mailer.go; api/internal/subscriber/mailer_test.go</x:v>
      </x:c>
      <x:c r="S30" s="14" t="str">
        <x:v>4d835111b8ee24560deabafe60efc8499dc105ec</x:v>
      </x:c>
      <x:c r="T30" s="14" t="str">
        <x:v>Run the same payload test after the tracker-backed fix; inspect both MIME alternatives for semantic parity and escaped links.</x:v>
      </x:c>
      <x:c r="U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V30" s="14" t="str">
        <x:v>Verified</x:v>
      </x:c>
      <x:c r="W30" s="14" t="str">
        <x:v>No</x:v>
      </x:c>
      <x:c r="X30" s="14" t="str">
        <x:v>Audit scope is the email experience after the optional post-result signup. Baseline evidence: qa_evidence/email-audit/baseline-tests.txt. Final audit report: feature_qa_report.html. Prior evidence retained; included in 2026-08-29 full-site regression pass.</x:v>
      </x:c>
      <x:c r="Y30" s="14" t="str">
        <x:v>Audit what users receive by email after the quiz, suggest improvements, and implement them so the website can build an audience before App Store release.</x:v>
      </x:c>
    </x:row>
    <x:row r="31">
      <x:c r="A31" s="14" t="str">
        <x:v>EM-002</x:v>
      </x:c>
      <x:c r="B31" s="14" t="str">
        <x:v>Reflection email value parity</x:v>
      </x:c>
      <x:c r="C31" s="14" t="str">
        <x:v>Subscriber email and scoring</x:v>
      </x:c>
      <x:c r="D31" s="14" t="str">
        <x:v>api/internal/subscriber/model.go; api/internal/subscriber/mailer.go; web/lib/quiz-core.js; api/internal/subscriber/model_test.go; api/internal/subscriber/mailer_test.go</x:v>
      </x:c>
      <x:c r="E31" s="14" t="str">
        <x:v>Confirmed reflection email</x:v>
      </x:c>
      <x:c r="F31" s="14" t="str">
        <x:v>Confirmed subscriber</x:v>
      </x:c>
      <x:c r="G31" s="14" t="str">
        <x:v>As a confirmed subscriber, I want the emailed reflection to preserve the useful meaning I saw after the quiz, so that the message is worth keeping and acting on.</x:v>
      </x:c>
      <x:c r="H31" s="14" t="str">
        <x:v>The email includes the primary pattern name, plain-language domain, concise interpretation, observed count out of 12, one practical prompt, and the same non-diagnostic boundary as the browser result.</x:v>
      </x:c>
      <x:c r="I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J31" s="14" t="str">
        <x:v>Verified</x:v>
      </x:c>
      <x:c r="K31" s="14" t="str">
        <x:v>Automated Test + Cross-surface Review</x:v>
      </x:c>
      <x:c r="L31" s="14" t="str">
        <x:v>Score a known 12-answer set; capture SendReflection; compare primary domain, summary, count, practical prompt, and boundary against the canonical browser copy contract.</x:v>
      </x:c>
      <x:c r="M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1" s="14" t="str"/>
      <x:c r="O31" s="14" t="str">
        <x:v>None</x:v>
      </x:c>
      <x:c r="P31" s="14" t="str">
        <x:v>No</x:v>
      </x:c>
      <x:c r="Q31" s="14" t="str">
        <x:v>Added canonical plain-language domains and reflection copy, stored evidence counts, result-bearing subject, primary interpretation, observed frequency, and practical prompt in HTML and text.</x:v>
      </x:c>
      <x:c r="R31" s="14" t="str">
        <x:v>api/internal/subscriber/model.go; api/internal/subscriber/model_test.go; api/internal/subscriber/mailer.go; api/internal/subscriber/mailer_test.go; api/internal/subscriber/service_test.go</x:v>
      </x:c>
      <x:c r="S31" s="14" t="str">
        <x:v>4d835111b8ee24560deabafe60efc8499dc105ec</x:v>
      </x:c>
      <x:c r="T31" s="14" t="str">
        <x:v>Run model and mailer parity tests; inspect rendered HTML text and plain-text payload for all required content.</x:v>
      </x:c>
      <x:c r="U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V31" s="14" t="str">
        <x:v>Verified</x:v>
      </x:c>
      <x:c r="W31" s="14" t="str">
        <x:v>No</x:v>
      </x:c>
      <x:c r="X31" s="14" t="str">
        <x:v>The backend remains authoritative and stores only the compact scored result, not individual answers. Baseline evidence: qa_evidence/email-audit/baseline-tests.txt. Final audit report: feature_qa_report.html. Prior evidence retained; included in 2026-08-29 full-site regression pass.</x:v>
      </x:c>
      <x:c r="Y31" s="14" t="str">
        <x:v>Audit what users receive by email after the quiz, suggest improvements, and implement them so the website can build an audience before App Store release.</x:v>
      </x:c>
    </x:row>
    <x:row r="32">
      <x:c r="A32" s="14" t="str">
        <x:v>EM-003</x:v>
      </x:c>
      <x:c r="B32" s="14" t="str">
        <x:v>Supporting-pattern evidence honesty</x:v>
      </x:c>
      <x:c r="C32" s="14" t="str">
        <x:v>Subscriber scoring and email</x:v>
      </x:c>
      <x:c r="D32" s="14" t="str">
        <x:v>api/internal/subscriber/model.go; api/internal/subscriber/model_test.go; api/internal/subscriber/mailer.go; api/internal/subscriber/mailer_test.go</x:v>
      </x:c>
      <x:c r="E32" s="14" t="str">
        <x:v>Confirmed reflection email supporting section</x:v>
      </x:c>
      <x:c r="F32" s="14" t="str">
        <x:v>Confirmed subscriber</x:v>
      </x:c>
      <x:c r="G32" s="14" t="str">
        <x:v>As a confirmed subscriber, I want a supporting pattern shown only when my choices support it, so that the email does not invent a second result.</x:v>
      </x:c>
      <x:c r="H32" s="14" t="str">
        <x:v>A nonzero supporting pattern includes its name, plain-language summary, and observed count; when all 12 answers select one pattern, no zero-count supporting archetype is assigned or presented.</x:v>
      </x:c>
      <x:c r="I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J32" s="14" t="str">
        <x:v>Verified</x:v>
      </x:c>
      <x:c r="K32" s="14" t="str">
        <x:v>Automated Test</x:v>
      </x:c>
      <x:c r="L32" s="14" t="str">
        <x:v>Score twelve identical answers and assert there is no supporting pattern; score a split answer set and assert the supporting code and count are deterministic; capture both reflection emails and verify conditional rendering.</x:v>
      </x:c>
      <x:c r="M32" s="14" t="str">
        <x:v>PASS — Score now records deterministic counts and assigns a supporting pattern only when its count is greater than zero; email rendering enforces the same condition.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2" s="14" t="str"/>
      <x:c r="O32" s="14" t="str">
        <x:v>None</x:v>
      </x:c>
      <x:c r="P32" s="14" t="str">
        <x:v>No</x:v>
      </x:c>
      <x:c r="Q32" s="14" t="str">
        <x:v>Score now records deterministic counts and assigns a supporting pattern only when its count is greater than zero; email rendering enforces the same condition.</x:v>
      </x:c>
      <x:c r="R32" s="14" t="str">
        <x:v>api/internal/subscriber/model.go; api/internal/subscriber/model_test.go; api/internal/subscriber/mailer.go; api/internal/subscriber/mailer_test.go; api/internal/subscriber/service_test.go</x:v>
      </x:c>
      <x:c r="S32" s="14" t="str">
        <x:v>4d835111b8ee24560deabafe60efc8499dc105ec</x:v>
      </x:c>
      <x:c r="T32" s="14" t="str">
        <x:v>Rerun zero-support and nonzero-support scoring and email payload tests after the fix.</x:v>
      </x:c>
      <x:c r="U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V32" s="14" t="str">
        <x:v>Verified</x:v>
      </x:c>
      <x:c r="W32" s="14" t="str">
        <x:v>No</x:v>
      </x:c>
      <x:c r="X32" s="14" t="str">
        <x:v>Aligns the email with the browser’s existing supportingPattern zero-count safeguard. Baseline evidence: qa_evidence/email-audit/baseline-tests.txt. Final audit report: feature_qa_report.html. Prior evidence retained; included in 2026-08-29 full-site regression pass.</x:v>
      </x:c>
      <x:c r="Y32" s="14" t="str">
        <x:v>Audit what users receive by email after the quiz, suggest improvements, and implement them so the website can build an audience before App Store release.</x:v>
      </x:c>
    </x:row>
    <x:row r="33">
      <x:c r="A33" s="14" t="str">
        <x:v>EM-004</x:v>
      </x:c>
      <x:c r="B33" s="14" t="str">
        <x:v>Accessible and resilient email rendering</x:v>
      </x:c>
      <x:c r="C33" s="14" t="str">
        <x:v>Subscriber email</x:v>
      </x:c>
      <x:c r="D33" s="14" t="str">
        <x:v>api/internal/subscriber/mailer.go; api/internal/subscriber/mailer_test.go</x:v>
      </x:c>
      <x:c r="E33" s="14" t="str">
        <x:v>Confirmation and reflection emails</x:v>
      </x:c>
      <x:c r="F33" s="14" t="str">
        <x:v>Mobile, assistive-technology, or plain-text email user</x:v>
      </x:c>
      <x:c r="G33" s="14" t="str">
        <x:v>As a subscriber using any common email client or assistive technology, I want a readable message and usable links, so that I can complete the flow without relying on rich HTML.</x:v>
      </x:c>
      <x:c r="H33" s="14" t="str">
        <x:v>Each email provides semantic, mobile-friendly inline-styled HTML; hidden preheader text; descriptive link labels; a visible copyable fallback URL where action is required; escaped dynamic values; and a complete plain-text alternative.</x:v>
      </x:c>
      <x:c r="I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J33" s="14" t="str">
        <x:v>Verified</x:v>
      </x:c>
      <x:c r="K33" s="14" t="str">
        <x:v>Automated Test + Accessibility Review</x:v>
      </x:c>
      <x:c r="L33" s="14" t="str">
        <x:v>Capture both Resend payloads; assert html and text parts exist; verify preheader, heading hierarchy, descriptive links, fallback URL, no external tracking image, and escaping of dynamic values.</x:v>
      </x:c>
      <x:c r="M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3" s="14" t="str"/>
      <x:c r="O33" s="14" t="str">
        <x:v>None</x:v>
      </x:c>
      <x:c r="P33" s="14" t="str">
        <x:v>No</x:v>
      </x:c>
      <x:c r="Q33" s="14" t="str">
        <x:v>Added complete plain-text bodies, hidden preheaders, semantic table-based email layout, inline styles, descriptive action labels, fallback URL, escaping, and no remote images.</x:v>
      </x:c>
      <x:c r="R33" s="14" t="str">
        <x:v>api/internal/subscriber/mailer.go; api/internal/subscriber/mailer_test.go</x:v>
      </x:c>
      <x:c r="S33" s="14" t="str">
        <x:v>4d835111b8ee24560deabafe60efc8499dc105ec</x:v>
      </x:c>
      <x:c r="T33" s="14" t="str">
        <x:v>Rerun payload tests and inspect generated HTML for semantic structure, inline styles, mobile width, and no unescaped dynamic content.</x:v>
      </x:c>
      <x:c r="U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V33" s="14" t="str">
        <x:v>Verified</x:v>
      </x:c>
      <x:c r="W33" s="14" t="str">
        <x:v>No</x:v>
      </x:c>
      <x:c r="X33" s="14" t="str">
        <x:v>No tracking pixels or remote images should be added. Baseline evidence: qa_evidence/email-audit/baseline-tests.txt. Final audit report: feature_qa_report.html. Prior evidence retained; included in 2026-08-29 full-site regression pass.</x:v>
      </x:c>
      <x:c r="Y33" s="14" t="str">
        <x:v>Audit what users receive by email after the quiz, suggest improvements, and implement them so the website can build an audience before App Store release.</x:v>
      </x:c>
    </x:row>
    <x:row r="34">
      <x:c r="A34" s="14" t="str">
        <x:v>EM-005</x:v>
      </x:c>
      <x:c r="B34" s="14" t="str">
        <x:v>Launch-list relationship after delivery</x:v>
      </x:c>
      <x:c r="C34" s="14" t="str">
        <x:v>Subscriber email</x:v>
      </x:c>
      <x:c r="D34" s="14" t="str">
        <x:v>api/internal/subscriber/mailer.go; api/internal/subscriber/mailer_test.go</x:v>
      </x:c>
      <x:c r="E34" s="14" t="str">
        <x:v>Confirmed reflection email footer</x:v>
      </x:c>
      <x:c r="F34" s="14" t="str">
        <x:v>Confirmed launch-list subscriber</x:v>
      </x:c>
      <x:c r="G34" s="14" t="str">
        <x:v>As a launch-list subscriber, I want the delivered reflection to explain the ongoing relationship and my control, so that later product updates are expected rather than surprising.</x:v>
      </x:c>
      <x:c r="H34" s="14" t="str">
        <x:v>The reflection email states that confirmation placed the user on the MIRROR//LOOP launch list for occasional App Store release and product updates, provides a working unsubscribe action, and names a monitored Reply-To route for help.</x:v>
      </x:c>
      <x:c r="I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J34" s="14" t="str">
        <x:v>Verified</x:v>
      </x:c>
      <x:c r="K34" s="14" t="str">
        <x:v>Automated Test + Content Review</x:v>
      </x:c>
      <x:c r="L34" s="14" t="str">
        <x:v>Capture the confirmed reflection payload; assert launch-list purpose, expected low-frequency update category, unsubscribe control, and configured Reply-To metadata are present without marketing overclaim.</x:v>
      </x:c>
      <x:c r="M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4" s="14" t="str"/>
      <x:c r="O34" s="14" t="str">
        <x:v>None</x:v>
      </x:c>
      <x:c r="P34" s="14" t="str">
        <x:v>No</x:v>
      </x:c>
      <x:c r="Q34" s="14" t="str">
        <x:v>Reflection delivery now explains occasional App Store release and product updates, states that it is not a daily newsletter, preserves unsubscribe, and invites replies through configured Reply-To.</x:v>
      </x:c>
      <x:c r="R34" s="14" t="str">
        <x:v>api/internal/subscriber/mailer.go; api/internal/subscriber/mailer_test.go</x:v>
      </x:c>
      <x:c r="S34" s="14" t="str">
        <x:v>4d835111b8ee24560deabafe60efc8499dc105ec</x:v>
      </x:c>
      <x:c r="T34" s="14" t="str">
        <x:v>Run reflection payload and Reply-To regression tests after the tracker-backed fix.</x:v>
      </x:c>
      <x:c r="U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V34" s="14" t="str">
        <x:v>Verified</x:v>
      </x:c>
      <x:c r="W34" s="14" t="str">
        <x:v>No</x:v>
      </x:c>
      <x:c r="X34" s="14" t="str">
        <x:v>The existing consent copy already authorizes the reflection and occasional MIRROR//LOOP updates. Baseline evidence: qa_evidence/email-audit/baseline-tests.txt. Final audit report: feature_qa_report.html. Prior evidence retained; included in 2026-08-29 full-site regression pass.</x:v>
      </x:c>
      <x:c r="Y34" s="14" t="str">
        <x:v>Audit what users receive by email after the quiz, suggest improvements, and implement them so the website can build an audience before App Store release.</x:v>
      </x:c>
    </x:row>
    <x:row r="35">
      <x:c r="A35" s="14" t="str">
        <x:v>ST-001</x:v>
      </x:c>
      <x:c r="B35" s="14" t="str">
        <x:v>Storefront orientation</x:v>
      </x:c>
      <x:c r="C35" s="14" t="str">
        <x:v>Storefront</x:v>
      </x:c>
      <x:c r="D35" s="14" t="str">
        <x:v>web/shop.html; web/shop.js; web/styles.css</x:v>
      </x:c>
      <x:c r="E35" s="14" t="str">
        <x:v>/shop</x:v>
      </x:c>
      <x:c r="F35" s="14" t="str">
        <x:v>Prospective buyer</x:v>
      </x:c>
      <x:c r="G35" s="14" t="str">
        <x:v>As a prospective buyer, I want to understand the available digital card editions immediately, so that I can choose the right collection confidently.</x:v>
      </x:c>
      <x:c r="H35" s="14" t="str">
        <x:v>The first viewport clearly states digital fulfillment, ARC versus complete-deck choices, edition differences, and secure checkout without unsupported physical-product claims.</x:v>
      </x:c>
      <x:c r="I35" s="14" t="str">
        <x:v>PASS — desktop/mobile storefront copy identifies digital editions, ARC/complete choices, and secure Stripe checkout without physical claims.</x:v>
      </x:c>
      <x:c r="J35" s="14" t="str">
        <x:v>Verified</x:v>
      </x:c>
      <x:c r="K35" s="14" t="str">
        <x:v>Browser + responsive</x:v>
      </x:c>
      <x:c r="L35" s="14" t="str">
        <x:v>Open /shop at desktop and mobile widths; inspect heading, product promise, fulfillment statement, and first actionable products.</x:v>
      </x:c>
      <x:c r="M35" s="14" t="str">
        <x:v>PASS — desktop/mobile storefront copy identifies digital editions, ARC/complete choices, and secure Stripe checkout without physical claims. Evidence: qa_evidence/feature-audit-2026-08-29/browser/local-browser-audit.json; qa_evidence/feature-audit-2026-08-29/commands/node-gates.txt.</x:v>
      </x:c>
      <x:c r="N35" s="14" t="str"/>
      <x:c r="O35" s="14" t="str">
        <x:v>None</x:v>
      </x:c>
      <x:c r="P35" s="14" t="str">
        <x:v>No</x:v>
      </x:c>
      <x:c r="Q35" s="14" t="str">
        <x:v>No change required.</x:v>
      </x:c>
      <x:c r="R35" s="14" t="str"/>
      <x:c r="S35" s="14" t="str"/>
      <x:c r="T35" s="14" t="str">
        <x:v>Repeat the initial steps after any tracker-backed change and run adjacent regression tests.</x:v>
      </x:c>
      <x:c r="U35" s="14" t="str">
        <x:v>PASS — desktop/mobile storefront copy identifies digital editions, ARC/complete choices, and secure Stripe checkout without physical claims.</x:v>
      </x:c>
      <x:c r="V35" s="14" t="str">
        <x:v>Verified</x:v>
      </x:c>
      <x:c r="W35" s="14" t="str">
        <x:v>No</x:v>
      </x:c>
      <x:c r="X35" s="14" t="str"/>
      <x:c r="Y35" s="14" t="str">
        <x:v>Feature audit: make mirrorloopai.com a first-class WebMCP experience that brings paying users and competes strongly, while preserving explicit human purchase control.</x:v>
      </x:c>
    </x:row>
    <x:row r="36">
      <x:c r="A36" s="14" t="str">
        <x:v>ST-002</x:v>
      </x:c>
      <x:c r="B36" s="14" t="str">
        <x:v>Complete product catalog</x:v>
      </x:c>
      <x:c r="C36" s="14" t="str">
        <x:v>Storefront</x:v>
      </x:c>
      <x:c r="D36" s="14" t="str">
        <x:v>web/data/shop.json; web/shop.js</x:v>
      </x:c>
      <x:c r="E36" s="14" t="str">
        <x:v>/shop#collections; /shop#arcs</x:v>
      </x:c>
      <x:c r="F36" s="14" t="str">
        <x:v>Prospective buyer</x:v>
      </x:c>
      <x:c r="G36" s="14" t="str">
        <x:v>As a buyer, I want to browse every ARC and complete edition, so that I can buy the exact material I want.</x:v>
      </x:c>
      <x:c r="H36" s="14" t="str">
        <x:v>The catalog renders 24 ARC products and four complete products with unique SKU, title, edition, description, and image; no public prices or Stripe IDs appear.</x:v>
      </x:c>
      <x:c r="I36" s="14" t="str">
        <x:v>PASS — 28 products render (24 ARC + 4 complete), all images exist, and public catalog exposes no price or Stripe ID.</x:v>
      </x:c>
      <x:c r="J36" s="14" t="str">
        <x:v>Verified</x:v>
      </x:c>
      <x:c r="K36" s="14" t="str">
        <x:v>Automated + browser</x:v>
      </x:c>
      <x:c r="L36" s="14" t="str">
        <x:v>Validate all 28 catalog entries and images; load /shop and count rendered collection and ARC cards; scan public payload for prices and Stripe identifiers.</x:v>
      </x:c>
      <x:c r="M36" s="14" t="str">
        <x:v>PASS — 28 products render (24 ARC + 4 complete), all images exist, and public catalog exposes no price or Stripe ID. Evidence: qa_evidence/feature-audit-2026-08-29/browser/local-browser-audit.json; qa_evidence/feature-audit-2026-08-29/commands/node-gates.txt.</x:v>
      </x:c>
      <x:c r="N36" s="14" t="str"/>
      <x:c r="O36" s="14" t="str">
        <x:v>None</x:v>
      </x:c>
      <x:c r="P36" s="14" t="str">
        <x:v>No</x:v>
      </x:c>
      <x:c r="Q36" s="14" t="str">
        <x:v>No change required.</x:v>
      </x:c>
      <x:c r="R36" s="14" t="str"/>
      <x:c r="S36" s="14" t="str"/>
      <x:c r="T36" s="14" t="str">
        <x:v>Repeat the initial steps after any tracker-backed change and run adjacent regression tests.</x:v>
      </x:c>
      <x:c r="U36" s="14" t="str">
        <x:v>PASS — 28 products render (24 ARC + 4 complete), all images exist, and public catalog exposes no price or Stripe ID.</x:v>
      </x:c>
      <x:c r="V36" s="14" t="str">
        <x:v>Verified</x:v>
      </x:c>
      <x:c r="W36" s="14" t="str">
        <x:v>No</x:v>
      </x:c>
      <x:c r="X36" s="14" t="str"/>
      <x:c r="Y36" s="14" t="str">
        <x:v>Feature audit: make mirrorloopai.com a first-class WebMCP experience that brings paying users and competes strongly, while preserving explicit human purchase control.</x:v>
      </x:c>
    </x:row>
    <x:row r="37">
      <x:c r="A37" s="14" t="str">
        <x:v>ST-003</x:v>
      </x:c>
      <x:c r="B37" s="14" t="str">
        <x:v>Edition filtering</x:v>
      </x:c>
      <x:c r="C37" s="14" t="str">
        <x:v>Storefront</x:v>
      </x:c>
      <x:c r="D37" s="14" t="str">
        <x:v>web/shop.html; web/shop.js</x:v>
      </x:c>
      <x:c r="E37" s="14" t="str">
        <x:v>/shop#arcs edition filters</x:v>
      </x:c>
      <x:c r="F37" s="14" t="str">
        <x:v>Buyer comparing styles</x:v>
      </x:c>
      <x:c r="G37" s="14" t="str">
        <x:v>As a buyer comparing styles, I want to filter ARC products by Mono or Full Color, so that I can focus on my preferred visual treatment.</x:v>
      </x:c>
      <x:c r="H37" s="14" t="str">
        <x:v>All, Mono, and Full Color controls expose selected state and render 24, 12, and 12 ARC products respectively without hiding complete collections.</x:v>
      </x:c>
      <x:c r="I37" s="14" t="str">
        <x:v>PASS — All/Mono/Full Color filters render 24/12/12 ARC cards with aria-pressed=true on the active control.</x:v>
      </x:c>
      <x:c r="J37" s="14" t="str">
        <x:v>Verified</x:v>
      </x:c>
      <x:c r="K37" s="14" t="str">
        <x:v>Browser interaction</x:v>
      </x:c>
      <x:c r="L37" s="14" t="str">
        <x:v>Activate each filter with mouse and keyboard; verify aria-pressed state and visible ARC/collection counts.</x:v>
      </x:c>
      <x:c r="M37" s="14" t="str">
        <x:v>PASS — All/Mono/Full Color filters render 24/12/12 ARC cards with aria-pressed=true on the active control. Evidence: qa_evidence/feature-audit-2026-08-29/browser/local-browser-audit.json; qa_evidence/feature-audit-2026-08-29/commands/node-gates.txt.</x:v>
      </x:c>
      <x:c r="N37" s="14" t="str"/>
      <x:c r="O37" s="14" t="str">
        <x:v>None</x:v>
      </x:c>
      <x:c r="P37" s="14" t="str">
        <x:v>No</x:v>
      </x:c>
      <x:c r="Q37" s="14" t="str">
        <x:v>No change required.</x:v>
      </x:c>
      <x:c r="R37" s="14" t="str"/>
      <x:c r="S37" s="14" t="str"/>
      <x:c r="T37" s="14" t="str">
        <x:v>Repeat the initial steps after any tracker-backed change and run adjacent regression tests.</x:v>
      </x:c>
      <x:c r="U37" s="14" t="str">
        <x:v>PASS — All/Mono/Full Color filters render 24/12/12 ARC cards with aria-pressed=true on the active control.</x:v>
      </x:c>
      <x:c r="V37" s="14" t="str">
        <x:v>Verified</x:v>
      </x:c>
      <x:c r="W37" s="14" t="str">
        <x:v>No</x:v>
      </x:c>
      <x:c r="X37" s="14" t="str"/>
      <x:c r="Y37" s="14" t="str">
        <x:v>Feature audit: make mirrorloopai.com a first-class WebMCP experience that brings paying users and competes strongly, while preserving explicit human purchase control.</x:v>
      </x:c>
    </x:row>
    <x:row r="38">
      <x:c r="A38" s="14" t="str">
        <x:v>ST-004</x:v>
      </x:c>
      <x:c r="B38" s="14" t="str">
        <x:v>Cart add remove and review</x:v>
      </x:c>
      <x:c r="C38" s="14" t="str">
        <x:v>Cart</x:v>
      </x:c>
      <x:c r="D38" s="14" t="str">
        <x:v>web/shop.js; web/shop.html</x:v>
      </x:c>
      <x:c r="E38" s="14" t="str">
        <x:v>/shop cart controls</x:v>
      </x:c>
      <x:c r="F38" s="14" t="str">
        <x:v>Buyer</x:v>
      </x:c>
      <x:c r="G38" s="14" t="str">
        <x:v>As a buyer, I want to add, remove, and review editions before checkout, so that I remain in control of my order.</x:v>
      </x:c>
      <x:c r="H38" s="14" t="str">
        <x:v>Product buttons toggle selection; cart count and rows match unique selected SKUs; remove and close controls work; no duplicate line is possible.</x:v>
      </x:c>
      <x:c r="I38" s="14" t="str">
        <x:v>PASS — two distinct products produce cart count 2 and two review rows; removal/close behavior is implemented and browser tested.</x:v>
      </x:c>
      <x:c r="J38" s="14" t="str">
        <x:v>Verified</x:v>
      </x:c>
      <x:c r="K38" s="14" t="str">
        <x:v>Browser interaction</x:v>
      </x:c>
      <x:c r="L38" s="14" t="str">
        <x:v>Add ARC and complete editions; open cart; verify count and rows; remove each item; close with button, backdrop, and Escape.</x:v>
      </x:c>
      <x:c r="M38" s="14" t="str">
        <x:v>PASS — two distinct products produce cart count 2 and two review rows; removal/close behavior is implemented and browser tested. Evidence: qa_evidence/feature-audit-2026-08-29/browser/local-browser-audit.json; qa_evidence/feature-audit-2026-08-29/commands/node-gates.txt.</x:v>
      </x:c>
      <x:c r="N38" s="14" t="str"/>
      <x:c r="O38" s="14" t="str">
        <x:v>None</x:v>
      </x:c>
      <x:c r="P38" s="14" t="str">
        <x:v>No</x:v>
      </x:c>
      <x:c r="Q38" s="14" t="str">
        <x:v>No change required.</x:v>
      </x:c>
      <x:c r="R38" s="14" t="str"/>
      <x:c r="S38" s="14" t="str"/>
      <x:c r="T38" s="14" t="str">
        <x:v>Repeat the initial steps after any tracker-backed change and run adjacent regression tests.</x:v>
      </x:c>
      <x:c r="U38" s="14" t="str">
        <x:v>PASS — two distinct products produce cart count 2 and two review rows; removal/close behavior is implemented and browser tested.</x:v>
      </x:c>
      <x:c r="V38" s="14" t="str">
        <x:v>Verified</x:v>
      </x:c>
      <x:c r="W38" s="14" t="str">
        <x:v>No</x:v>
      </x:c>
      <x:c r="X38" s="14" t="str"/>
      <x:c r="Y38" s="14" t="str">
        <x:v>Feature audit: make mirrorloopai.com a first-class WebMCP experience that brings paying users and competes strongly, while preserving explicit human purchase control.</x:v>
      </x:c>
    </x:row>
    <x:row r="39">
      <x:c r="A39" s="14" t="str">
        <x:v>ST-005</x:v>
      </x:c>
      <x:c r="B39" s="14" t="str">
        <x:v>Cart persistence and recovery</x:v>
      </x:c>
      <x:c r="C39" s="14" t="str">
        <x:v>Cart</x:v>
      </x:c>
      <x:c r="D39" s="14" t="str">
        <x:v>web/shop.js</x:v>
      </x:c>
      <x:c r="E39" s="14" t="str">
        <x:v>/shop local cart</x:v>
      </x:c>
      <x:c r="F39" s="14" t="str">
        <x:v>Returning buyer</x:v>
      </x:c>
      <x:c r="G39" s="14" t="str">
        <x:v>As a returning buyer, I want my unfinished cart to survive a reload, so that I can continue without rebuilding it.</x:v>
      </x:c>
      <x:c r="H39" s="14" t="str">
        <x:v>Valid selected SKUs persist locally, unavailable entries are discarded, and storage denial leaves the current page usable.</x:v>
      </x:c>
      <x:c r="I39" s="14" t="str">
        <x:v>PASS — two valid SKUs restore after reload; storage fallback is guarded in code.</x:v>
      </x:c>
      <x:c r="J39" s="14" t="str">
        <x:v>Verified</x:v>
      </x:c>
      <x:c r="K39" s="14" t="str">
        <x:v>Browser + automated</x:v>
      </x:c>
      <x:c r="L39" s="14" t="str">
        <x:v>Add two items, reload, verify restoration; inject unknown SKU and reload; simulate unavailable storage and verify cart still works in memory.</x:v>
      </x:c>
      <x:c r="M39" s="14" t="str">
        <x:v>PASS — two valid SKUs restore after reload; storage fallback is guarded in code. Evidence: qa_evidence/feature-audit-2026-08-29/browser/local-browser-audit.json; qa_evidence/feature-audit-2026-08-29/commands/node-gates.txt.</x:v>
      </x:c>
      <x:c r="N39" s="14" t="str"/>
      <x:c r="O39" s="14" t="str">
        <x:v>None</x:v>
      </x:c>
      <x:c r="P39" s="14" t="str">
        <x:v>No</x:v>
      </x:c>
      <x:c r="Q39" s="14" t="str">
        <x:v>No change required.</x:v>
      </x:c>
      <x:c r="R39" s="14" t="str"/>
      <x:c r="S39" s="14" t="str"/>
      <x:c r="T39" s="14" t="str">
        <x:v>Repeat the initial steps after any tracker-backed change and run adjacent regression tests.</x:v>
      </x:c>
      <x:c r="U39" s="14" t="str">
        <x:v>PASS — two valid SKUs restore after reload; storage fallback is guarded in code.</x:v>
      </x:c>
      <x:c r="V39" s="14" t="str">
        <x:v>Verified</x:v>
      </x:c>
      <x:c r="W39" s="14" t="str">
        <x:v>No</x:v>
      </x:c>
      <x:c r="X39" s="14" t="str"/>
      <x:c r="Y39" s="14" t="str">
        <x:v>Feature audit: make mirrorloopai.com a first-class WebMCP experience that brings paying users and competes strongly, while preserving explicit human purchase control.</x:v>
      </x:c>
    </x:row>
    <x:row r="40">
      <x:c r="A40" s="14" t="str">
        <x:v>ST-006</x:v>
      </x:c>
      <x:c r="B40" s="14" t="str">
        <x:v>Secure hosted checkout handoff</x:v>
      </x:c>
      <x:c r="C40" s="14" t="str">
        <x:v>Checkout</x:v>
      </x:c>
      <x:c r="D40" s="14" t="str">
        <x:v>web/shop.js; api/internal/commerce/checkout.go; api/internal/commerce/catalog_gen.go</x:v>
      </x:c>
      <x:c r="E40" s="14" t="str">
        <x:v>POST /api/v1/checkout-sessions</x:v>
      </x:c>
      <x:c r="F40" s="14" t="str">
        <x:v>Ready-to-buy customer</x:v>
      </x:c>
      <x:c r="G40" s="14" t="str">
        <x:v>As a ready-to-buy customer, I want a secure hosted checkout showing authoritative prices, so that I can review and authorize payment safely.</x:v>
      </x:c>
      <x:c r="H40" s="14" t="str">
        <x:v>The browser sends only allowlisted SKUs; the server maps them to prices, creates a Stripe-hosted HTTPS session, rejects malformed or cross-origin carts, and never lets an agent initiate payment.</x:v>
      </x:c>
      <x:c r="I40" s="14" t="str">
        <x:v>FAIL — The production checkout endpoint returns a valid checkout.stripe.com Session URL, but both local and production config set shopEnabled:false, leaving the public checkout button disabled.</x:v>
      </x:c>
      <x:c r="J40" s="14" t="str">
        <x:v>Failed Test</x:v>
      </x:c>
      <x:c r="K40" s="14" t="str">
        <x:v>Automated integration + production smoke</x:v>
      </x:c>
      <x:c r="L40" s="14" t="str">
        <x:v>Test valid/invalid/duplicate/oversized carts and allowed origin; inspect Checkout URL validation; on production verify checkout availability without completing a charge.</x:v>
      </x:c>
      <x:c r="M40" s="14" t="str">
        <x:v>FAIL — The production checkout endpoint returns a valid checkout.stripe.com Session URL, but both local and production config set shopEnabled:false, leaving the public checkout button disabled. Evidence: qa_evidence/feature-audit-2026-08-29/commands/production-audit.txt.</x:v>
      </x:c>
      <x:c r="N40" s="14" t="str">
        <x:v>Paying users cannot enter the already-operational Stripe Checkout flow from the storefront.</x:v>
      </x:c>
      <x:c r="O40" s="14" t="str">
        <x:v>Critical</x:v>
      </x:c>
      <x:c r="P40" s="14" t="str">
        <x:v>Yes</x:v>
      </x:c>
      <x:c r="Q40" s="14" t="str"/>
      <x:c r="R40" s="14" t="str"/>
      <x:c r="S40" s="14" t="str"/>
      <x:c r="T40" s="14" t="str">
        <x:v>Repeat the initial steps after any tracker-backed change and run adjacent regression tests.</x:v>
      </x:c>
      <x:c r="U40" s="14" t="str"/>
      <x:c r="V40" s="14" t="str">
        <x:v>Failed Test</x:v>
      </x:c>
      <x:c r="W40" s="14" t="str">
        <x:v>Yes</x:v>
      </x:c>
      <x:c r="X40" s="14" t="str">
        <x:v>Payment activation or configuration changes require explicit product-owner confirmation after evidence is recorded.</x:v>
      </x:c>
      <x:c r="Y40" s="14" t="str">
        <x:v>Feature audit: make mirrorloopai.com a first-class WebMCP experience that brings paying users and competes strongly, while preserving explicit human purchase control.</x:v>
      </x:c>
    </x:row>
    <x:row r="41">
      <x:c r="A41" s="14" t="str">
        <x:v>ST-007</x:v>
      </x:c>
      <x:c r="B41" s="14" t="str">
        <x:v>Checkout return states</x:v>
      </x:c>
      <x:c r="C41" s="14" t="str">
        <x:v>Checkout</x:v>
      </x:c>
      <x:c r="D41" s="14" t="str">
        <x:v>web/shop.js</x:v>
      </x:c>
      <x:c r="E41" s="14" t="str">
        <x:v>/shop?checkout=success; /shop?checkout=cancelled</x:v>
      </x:c>
      <x:c r="F41" s="14" t="str">
        <x:v>Checkout customer</x:v>
      </x:c>
      <x:c r="G41" s="14" t="str">
        <x:v>As a customer returning from Stripe, I want a clear success or cancellation state, so that I know what happens next.</x:v>
      </x:c>
      <x:c r="H41" s="14" t="str">
        <x:v>Success clears the local cart and explains receipt/fulfillment; cancellation preserves the cart and explains that no purchase was completed.</x:v>
      </x:c>
      <x:c r="I41" s="14" t="str">
        <x:v>PASS — cancellation preserves count 2; success clears to 0; both open the cart with explanatory messages.</x:v>
      </x:c>
      <x:c r="J41" s="14" t="str">
        <x:v>Verified</x:v>
      </x:c>
      <x:c r="K41" s="14" t="str">
        <x:v>Browser interaction</x:v>
      </x:c>
      <x:c r="L41" s="14" t="str">
        <x:v>Seed cart; open success URL and verify clearing/message; repeat cancellation URL and verify preservation/message.</x:v>
      </x:c>
      <x:c r="M41" s="14" t="str">
        <x:v>PASS — cancellation preserves count 2; success clears to 0; both open the cart with explanatory messages. Evidence: qa_evidence/feature-audit-2026-08-29/browser/local-browser-audit.json; qa_evidence/feature-audit-2026-08-29/commands/node-gates.txt.</x:v>
      </x:c>
      <x:c r="N41" s="14" t="str"/>
      <x:c r="O41" s="14" t="str">
        <x:v>None</x:v>
      </x:c>
      <x:c r="P41" s="14" t="str">
        <x:v>No</x:v>
      </x:c>
      <x:c r="Q41" s="14" t="str">
        <x:v>No change required.</x:v>
      </x:c>
      <x:c r="R41" s="14" t="str"/>
      <x:c r="S41" s="14" t="str"/>
      <x:c r="T41" s="14" t="str">
        <x:v>Repeat the initial steps after any tracker-backed change and run adjacent regression tests.</x:v>
      </x:c>
      <x:c r="U41" s="14" t="str">
        <x:v>PASS — cancellation preserves count 2; success clears to 0; both open the cart with explanatory messages.</x:v>
      </x:c>
      <x:c r="V41" s="14" t="str">
        <x:v>Verified</x:v>
      </x:c>
      <x:c r="W41" s="14" t="str">
        <x:v>No</x:v>
      </x:c>
      <x:c r="X41" s="14" t="str"/>
      <x:c r="Y41" s="14" t="str">
        <x:v>Feature audit: make mirrorloopai.com a first-class WebMCP experience that brings paying users and competes strongly, while preserving explicit human purchase control.</x:v>
      </x:c>
    </x:row>
    <x:row r="42">
      <x:c r="A42" s="14" t="str">
        <x:v>ST-008</x:v>
      </x:c>
      <x:c r="B42" s="14" t="str">
        <x:v>Purchase terms and support</x:v>
      </x:c>
      <x:c r="C42" s="14" t="str">
        <x:v>Trust and support</x:v>
      </x:c>
      <x:c r="D42" s="14" t="str">
        <x:v>web/terms.html; web/shop.html</x:v>
      </x:c>
      <x:c r="E42" s="14" t="str">
        <x:v>/terms; /shop delivery note</x:v>
      </x:c>
      <x:c r="F42" s="14" t="str">
        <x:v>Buyer</x:v>
      </x:c>
      <x:c r="G42" s="14" t="str">
        <x:v>As a buyer, I want clear digital-delivery, license, refund, and support terms before payment, so that I understand the purchase.</x:v>
      </x:c>
      <x:c r="H42" s="14" t="str">
        <x:v>Terms accurately describe digital delivery, fulfillment timing, personal-use license, refund conditions, and a functioning support contact; shop links to them before checkout.</x:v>
      </x:c>
      <x:c r="I42" s="14" t="str">
        <x:v>PASS — digital delivery, 24-hour support, 14-day issue window, personal-use license, and support link are present.</x:v>
      </x:c>
      <x:c r="J42" s="14" t="str">
        <x:v>Verified</x:v>
      </x:c>
      <x:c r="K42" s="14" t="str">
        <x:v>Content + link review</x:v>
      </x:c>
      <x:c r="L42" s="14" t="str">
        <x:v>Open /terms and shop terms links; verify statements against catalog and fulfillment code; activate support mail link.</x:v>
      </x:c>
      <x:c r="M42" s="14" t="str">
        <x:v>PASS — digital delivery, 24-hour support, 14-day issue window, personal-use license, and support link are present. Evidence: qa_evidence/feature-audit-2026-08-29/browser/local-browser-audit.json; qa_evidence/feature-audit-2026-08-29/commands/node-gates.txt.</x:v>
      </x:c>
      <x:c r="N42" s="14" t="str"/>
      <x:c r="O42" s="14" t="str">
        <x:v>None</x:v>
      </x:c>
      <x:c r="P42" s="14" t="str">
        <x:v>No</x:v>
      </x:c>
      <x:c r="Q42" s="14" t="str">
        <x:v>No change required.</x:v>
      </x:c>
      <x:c r="R42" s="14" t="str"/>
      <x:c r="S42" s="14" t="str"/>
      <x:c r="T42" s="14" t="str">
        <x:v>Repeat the initial steps after any tracker-backed change and run adjacent regression tests.</x:v>
      </x:c>
      <x:c r="U42" s="14" t="str">
        <x:v>PASS — digital delivery, 24-hour support, 14-day issue window, personal-use license, and support link are present.</x:v>
      </x:c>
      <x:c r="V42" s="14" t="str">
        <x:v>Verified</x:v>
      </x:c>
      <x:c r="W42" s="14" t="str">
        <x:v>No</x:v>
      </x:c>
      <x:c r="X42" s="14" t="str"/>
      <x:c r="Y42" s="14" t="str">
        <x:v>Feature audit: make mirrorloopai.com a first-class WebMCP experience that brings paying users and competes strongly, while preserving explicit human purchase control.</x:v>
      </x:c>
    </x:row>
    <x:row r="43">
      <x:c r="A43" s="14" t="str">
        <x:v>WM-001</x:v>
      </x:c>
      <x:c r="B43" s="14" t="str">
        <x:v>WebMCP capability detection and fallback</x:v>
      </x:c>
      <x:c r="C43" s="14" t="str">
        <x:v>WebMCP</x:v>
      </x:c>
      <x:c r="D43" s="14" t="str">
        <x:v>web/index.html; web/app.js; web/lib/webmcp.js</x:v>
      </x:c>
      <x:c r="E43" s="14" t="str">
        <x:v>/ quiz introduction</x:v>
      </x:c>
      <x:c r="F43" s="14" t="str">
        <x:v>Direct visitor and agent-enabled visitor</x:v>
      </x:c>
      <x:c r="G43" s="14" t="str">
        <x:v>As a visitor, I want the page to work with or without an AI-capable browser, so that browser support never blocks the reflection.</x:v>
      </x:c>
      <x:c r="H43" s="14" t="str">
        <x:v>Supported browsers display the available tool count; unsupported browsers receive a plain fallback message and retain the complete direct quiz.</x:v>
      </x:c>
      <x:c r="I43" s="14" t="str">
        <x:v>PASS — injected context registers eight tools and direct mode remains usable; unsupported-mode fallback is implemented.</x:v>
      </x:c>
      <x:c r="J43" s="14" t="str">
        <x:v>Verified</x:v>
      </x:c>
      <x:c r="K43" s="14" t="str">
        <x:v>Automated + browser</x:v>
      </x:c>
      <x:c r="L43" s="14" t="str">
        <x:v>Run with injected modelContext and without it; verify status text, body state, eight tools, and direct quiz usability.</x:v>
      </x:c>
      <x:c r="M43" s="14" t="str">
        <x:v>PASS — injected context registers eight tools and direct mode remains usable; unsupported-mode fallback is implemented. Evidence: qa_evidence/feature-audit-2026-08-29/browser/local-browser-audit.json; qa_evidence/feature-audit-2026-08-29/commands/node-gates.txt.</x:v>
      </x:c>
      <x:c r="N43" s="14" t="str"/>
      <x:c r="O43" s="14" t="str">
        <x:v>None</x:v>
      </x:c>
      <x:c r="P43" s="14" t="str">
        <x:v>No</x:v>
      </x:c>
      <x:c r="Q43" s="14" t="str">
        <x:v>No change required.</x:v>
      </x:c>
      <x:c r="R43" s="14" t="str"/>
      <x:c r="S43" s="14" t="str"/>
      <x:c r="T43" s="14" t="str">
        <x:v>Repeat the initial steps after any tracker-backed change and run adjacent regression tests.</x:v>
      </x:c>
      <x:c r="U43" s="14" t="str">
        <x:v>PASS — injected context registers eight tools and direct mode remains usable; unsupported-mode fallback is implemented.</x:v>
      </x:c>
      <x:c r="V43" s="14" t="str">
        <x:v>Verified</x:v>
      </x:c>
      <x:c r="W43" s="14" t="str">
        <x:v>No</x:v>
      </x:c>
      <x:c r="X43" s="14" t="str"/>
      <x:c r="Y43" s="14" t="str">
        <x:v>Feature audit: make mirrorloopai.com a first-class WebMCP experience that brings paying users and competes strongly, while preserving explicit human purchase control.</x:v>
      </x:c>
    </x:row>
    <x:row r="44">
      <x:c r="A44" s="14" t="str">
        <x:v>WM-002</x:v>
      </x:c>
      <x:c r="B44" s="14" t="str">
        <x:v>Agent starts a private reflection</x:v>
      </x:c>
      <x:c r="C44" s="14" t="str">
        <x:v>WebMCP</x:v>
      </x:c>
      <x:c r="D44" s="14" t="str">
        <x:v>web/lib/webmcp.js; web/app.js</x:v>
      </x:c>
      <x:c r="E44" s="14" t="str">
        <x:v>start_reflection</x:v>
      </x:c>
      <x:c r="F44" s="14" t="str">
        <x:v>Agent-assisted participant</x:v>
      </x:c>
      <x:c r="G44" s="14" t="str">
        <x:v>As an agent-assisted participant, I want my agent to start or reset the reflection, so that the visible page and tool state begin together.</x:v>
      </x:c>
      <x:c r="H44" s="14" t="str">
        <x:v>The tool resets ephemeral answers, opens question 1, reports privacy and length, does not echo the private focus, and performs no external write.</x:v>
      </x:c>
      <x:c r="I44" s="14" t="str">
        <x:v>PASS — session resets locally, returns 12-question/privacy metadata, and focus is not echoed.</x:v>
      </x:c>
      <x:c r="J44" s="14" t="str">
        <x:v>Verified</x:v>
      </x:c>
      <x:c r="K44" s="14" t="str">
        <x:v>Automated + browser</x:v>
      </x:c>
      <x:c r="L44" s="14" t="str">
        <x:v>Call with empty and bounded focus; inspect DOM and response; verify overlong and unknown fields reject; verify no network write beyond aggregate start analytics.</x:v>
      </x:c>
      <x:c r="M44" s="14" t="str">
        <x:v>PASS — session resets locally, returns 12-question/privacy metadata, and focus is not echoed. Evidence: qa_evidence/feature-audit-2026-08-29/browser/local-browser-audit.json; qa_evidence/feature-audit-2026-08-29/commands/node-gates.txt.</x:v>
      </x:c>
      <x:c r="N44" s="14" t="str"/>
      <x:c r="O44" s="14" t="str">
        <x:v>None</x:v>
      </x:c>
      <x:c r="P44" s="14" t="str">
        <x:v>No</x:v>
      </x:c>
      <x:c r="Q44" s="14" t="str">
        <x:v>No change required.</x:v>
      </x:c>
      <x:c r="R44" s="14" t="str"/>
      <x:c r="S44" s="14" t="str"/>
      <x:c r="T44" s="14" t="str">
        <x:v>Repeat the initial steps after any tracker-backed change and run adjacent regression tests.</x:v>
      </x:c>
      <x:c r="U44" s="14" t="str">
        <x:v>PASS — session resets locally, returns 12-question/privacy metadata, and focus is not echoed.</x:v>
      </x:c>
      <x:c r="V44" s="14" t="str">
        <x:v>Verified</x:v>
      </x:c>
      <x:c r="W44" s="14" t="str">
        <x:v>No</x:v>
      </x:c>
      <x:c r="X44" s="14" t="str"/>
      <x:c r="Y44" s="14" t="str">
        <x:v>Feature audit: make mirrorloopai.com a first-class WebMCP experience that brings paying users and competes strongly, while preserving explicit human purchase control.</x:v>
      </x:c>
    </x:row>
    <x:row r="45">
      <x:c r="A45" s="14" t="str">
        <x:v>WM-003</x:v>
      </x:c>
      <x:c r="B45" s="14" t="str">
        <x:v>Agent reads the current question</x:v>
      </x:c>
      <x:c r="C45" s="14" t="str">
        <x:v>WebMCP</x:v>
      </x:c>
      <x:c r="D45" s="14" t="str">
        <x:v>web/lib/webmcp.js; web/app.js; web/data/quiz.json</x:v>
      </x:c>
      <x:c r="E45" s="14" t="str">
        <x:v>get_current_question</x:v>
      </x:c>
      <x:c r="F45" s="14" t="str">
        <x:v>Agent-assisted participant</x:v>
      </x:c>
      <x:c r="G45" s="14" t="str">
        <x:v>As an agent-assisted participant, I want my agent to read the active question and all choices, so that it can explain the decision without guessing.</x:v>
      </x:c>
      <x:c r="H45" s="14" t="str">
        <x:v>The tool requires an active session and returns the current ID, stage, prompt, and all 12 code/label/glyph choices from canonical quiz data.</x:v>
      </x:c>
      <x:c r="I45" s="14" t="str">
        <x:v>PASS — current question returns 12 canonical options after start and rejects before start.</x:v>
      </x:c>
      <x:c r="J45" s="14" t="str">
        <x:v>Verified</x:v>
      </x:c>
      <x:c r="K45" s="14" t="str">
        <x:v>Automated + browser</x:v>
      </x:c>
      <x:c r="L45" s="14" t="str">
        <x:v>Call before start and expect error; start; call at question 1 and after advancing; compare payload with visible DOM and quiz JSON.</x:v>
      </x:c>
      <x:c r="M45" s="14" t="str">
        <x:v>PASS — current question returns 12 canonical options after start and rejects before start. Evidence: qa_evidence/feature-audit-2026-08-29/browser/local-browser-audit.json; qa_evidence/feature-audit-2026-08-29/commands/node-gates.txt.</x:v>
      </x:c>
      <x:c r="N45" s="14" t="str"/>
      <x:c r="O45" s="14" t="str">
        <x:v>None</x:v>
      </x:c>
      <x:c r="P45" s="14" t="str">
        <x:v>No</x:v>
      </x:c>
      <x:c r="Q45" s="14" t="str">
        <x:v>No change required.</x:v>
      </x:c>
      <x:c r="R45" s="14" t="str"/>
      <x:c r="S45" s="14" t="str"/>
      <x:c r="T45" s="14" t="str">
        <x:v>Repeat the initial steps after any tracker-backed change and run adjacent regression tests.</x:v>
      </x:c>
      <x:c r="U45" s="14" t="str">
        <x:v>PASS — current question returns 12 canonical options after start and rejects before start.</x:v>
      </x:c>
      <x:c r="V45" s="14" t="str">
        <x:v>Verified</x:v>
      </x:c>
      <x:c r="W45" s="14" t="str">
        <x:v>No</x:v>
      </x:c>
      <x:c r="X45" s="14" t="str"/>
      <x:c r="Y45" s="14" t="str">
        <x:v>Feature audit: make mirrorloopai.com a first-class WebMCP experience that brings paying users and competes strongly, while preserving explicit human purchase control.</x:v>
      </x:c>
    </x:row>
    <x:row r="46">
      <x:c r="A46" s="14" t="str">
        <x:v>WM-004</x:v>
      </x:c>
      <x:c r="B46" s="14" t="str">
        <x:v>Agent explains a choice without selecting it</x:v>
      </x:c>
      <x:c r="C46" s="14" t="str">
        <x:v>WebMCP</x:v>
      </x:c>
      <x:c r="D46" s="14" t="str">
        <x:v>web/lib/webmcp.js; web/app.js; web/lib/quiz-core.js</x:v>
      </x:c>
      <x:c r="E46" s="14" t="str">
        <x:v>explain_choice</x:v>
      </x:c>
      <x:c r="F46" s="14" t="str">
        <x:v>Uncertain participant</x:v>
      </x:c>
      <x:c r="G46" s="14" t="str">
        <x:v>As a participant uncertain about a choice, I want a plain-language explanation before selecting it, so that I retain informed agency.</x:v>
      </x:c>
      <x:c r="H46" s="14" t="str">
        <x:v>A valid question and choice return meaning and prompt with NOT_SELECTED status; invalid or unknown input rejects; quiz state and DOM remain unchanged.</x:v>
      </x:c>
      <x:c r="I46" s="14" t="str">
        <x:v>PASS — explanation returns NOT_SELECTED and does not mutate answer state.</x:v>
      </x:c>
      <x:c r="J46" s="14" t="str">
        <x:v>Verified</x:v>
      </x:c>
      <x:c r="K46" s="14" t="str">
        <x:v>Automated + browser</x:v>
      </x:c>
      <x:c r="L46" s="14" t="str">
        <x:v>Call valid and invalid combinations; compare before/after current question and answer review; scan response size and private-data boundary.</x:v>
      </x:c>
      <x:c r="M46" s="14" t="str">
        <x:v>PASS — explanation returns NOT_SELECTED and does not mutate answer state. Evidence: qa_evidence/feature-audit-2026-08-29/browser/local-browser-audit.json; qa_evidence/feature-audit-2026-08-29/commands/node-gates.txt.</x:v>
      </x:c>
      <x:c r="N46" s="14" t="str"/>
      <x:c r="O46" s="14" t="str">
        <x:v>None</x:v>
      </x:c>
      <x:c r="P46" s="14" t="str">
        <x:v>No</x:v>
      </x:c>
      <x:c r="Q46" s="14" t="str">
        <x:v>No change required.</x:v>
      </x:c>
      <x:c r="R46" s="14" t="str"/>
      <x:c r="S46" s="14" t="str"/>
      <x:c r="T46" s="14" t="str">
        <x:v>Repeat the initial steps after any tracker-backed change and run adjacent regression tests.</x:v>
      </x:c>
      <x:c r="U46" s="14" t="str">
        <x:v>PASS — explanation returns NOT_SELECTED and does not mutate answer state.</x:v>
      </x:c>
      <x:c r="V46" s="14" t="str">
        <x:v>Verified</x:v>
      </x:c>
      <x:c r="W46" s="14" t="str">
        <x:v>No</x:v>
      </x:c>
      <x:c r="X46" s="14" t="str"/>
      <x:c r="Y46" s="14" t="str">
        <x:v>Feature audit: make mirrorloopai.com a first-class WebMCP experience that brings paying users and competes strongly, while preserving explicit human purchase control.</x:v>
      </x:c>
    </x:row>
    <x:row r="47">
      <x:c r="A47" s="14" t="str">
        <x:v>WM-005</x:v>
      </x:c>
      <x:c r="B47" s="14" t="str">
        <x:v>Human-confirmed agent answer</x:v>
      </x:c>
      <x:c r="C47" s="14" t="str">
        <x:v>WebMCP</x:v>
      </x:c>
      <x:c r="D47" s="14" t="str">
        <x:v>web/lib/webmcp.js; web/app.js</x:v>
      </x:c>
      <x:c r="E47" s="14" t="str">
        <x:v>answer_reflection_question</x:v>
      </x:c>
      <x:c r="F47" s="14" t="str">
        <x:v>Agent-assisted participant</x:v>
      </x:c>
      <x:c r="G47" s="14" t="str">
        <x:v>As a participant, I want my agent to record only choices I explicitly confirm, so that it cannot decide the reflection for me.</x:v>
      </x:c>
      <x:c r="H47" s="14" t="str">
        <x:v>The tool requires confirmed_by_user=true, only accepts the active question and available choice, advances exactly once, and reports next action.</x:v>
      </x:c>
      <x:c r="I47" s="14" t="str">
        <x:v>PASS — unconfirmed answer rejects; confirmed answers advance one stage; skip/schema tests pass.</x:v>
      </x:c>
      <x:c r="J47" s="14" t="str">
        <x:v>Verified</x:v>
      </x:c>
      <x:c r="K47" s="14" t="str">
        <x:v>Automated + browser</x:v>
      </x:c>
      <x:c r="L47" s="14" t="str">
        <x:v>Attempt unconfirmed, skipped, repeated, malformed, and confirmed answers; inspect calls, DOM progress, and answer count.</x:v>
      </x:c>
      <x:c r="M47" s="14" t="str">
        <x:v>PASS — unconfirmed answer rejects; confirmed answers advance one stage; skip/schema tests pass. Evidence: qa_evidence/feature-audit-2026-08-29/browser/local-browser-audit.json; qa_evidence/feature-audit-2026-08-29/commands/node-gates.txt.</x:v>
      </x:c>
      <x:c r="N47" s="14" t="str"/>
      <x:c r="O47" s="14" t="str">
        <x:v>None</x:v>
      </x:c>
      <x:c r="P47" s="14" t="str">
        <x:v>No</x:v>
      </x:c>
      <x:c r="Q47" s="14" t="str">
        <x:v>No change required.</x:v>
      </x:c>
      <x:c r="R47" s="14" t="str"/>
      <x:c r="S47" s="14" t="str"/>
      <x:c r="T47" s="14" t="str">
        <x:v>Repeat the initial steps after any tracker-backed change and run adjacent regression tests.</x:v>
      </x:c>
      <x:c r="U47" s="14" t="str">
        <x:v>PASS — unconfirmed answer rejects; confirmed answers advance one stage; skip/schema tests pass.</x:v>
      </x:c>
      <x:c r="V47" s="14" t="str">
        <x:v>Verified</x:v>
      </x:c>
      <x:c r="W47" s="14" t="str">
        <x:v>No</x:v>
      </x:c>
      <x:c r="X47" s="14" t="str"/>
      <x:c r="Y47" s="14" t="str">
        <x:v>Feature audit: make mirrorloopai.com a first-class WebMCP experience that brings paying users and competes strongly, while preserving explicit human purchase control.</x:v>
      </x:c>
    </x:row>
    <x:row r="48">
      <x:c r="A48" s="14" t="str">
        <x:v>WM-006</x:v>
      </x:c>
      <x:c r="B48" s="14" t="str">
        <x:v>Agent reviews recorded answers</x:v>
      </x:c>
      <x:c r="C48" s="14" t="str">
        <x:v>WebMCP</x:v>
      </x:c>
      <x:c r="D48" s="14" t="str">
        <x:v>web/lib/webmcp.js; web/app.js</x:v>
      </x:c>
      <x:c r="E48" s="14" t="str">
        <x:v>review_reflection_answers</x:v>
      </x:c>
      <x:c r="F48" s="14" t="str">
        <x:v>Participant checking consistency</x:v>
      </x:c>
      <x:c r="G48" s="14" t="str">
        <x:v>As a participant, I want to review the choices already recorded, so that I can catch misunderstandings before completion.</x:v>
      </x:c>
      <x:c r="H48" s="14" t="str">
        <x:v>The read-only tool returns only recorded question/code pairs and totals, changes no state, and leaks no focus area or source corpus.</x:v>
      </x:c>
      <x:c r="I48" s="14" t="str">
        <x:v>PASS — review returns 12 recorded question/code pairs without private focus or corpora.</x:v>
      </x:c>
      <x:c r="J48" s="14" t="str">
        <x:v>Verified</x:v>
      </x:c>
      <x:c r="K48" s="14" t="str">
        <x:v>Automated + browser</x:v>
      </x:c>
      <x:c r="L48" s="14" t="str">
        <x:v>Review at zero, partial, and 12 answers; compare with choices; repeat and verify no DOM/state mutation.</x:v>
      </x:c>
      <x:c r="M48" s="14" t="str">
        <x:v>PASS — review returns 12 recorded question/code pairs without private focus or corpora. Evidence: qa_evidence/feature-audit-2026-08-29/browser/local-browser-audit.json; qa_evidence/feature-audit-2026-08-29/commands/node-gates.txt.</x:v>
      </x:c>
      <x:c r="N48" s="14" t="str"/>
      <x:c r="O48" s="14" t="str">
        <x:v>None</x:v>
      </x:c>
      <x:c r="P48" s="14" t="str">
        <x:v>No</x:v>
      </x:c>
      <x:c r="Q48" s="14" t="str">
        <x:v>No change required.</x:v>
      </x:c>
      <x:c r="R48" s="14" t="str"/>
      <x:c r="S48" s="14" t="str"/>
      <x:c r="T48" s="14" t="str">
        <x:v>Repeat the initial steps after any tracker-backed change and run adjacent regression tests.</x:v>
      </x:c>
      <x:c r="U48" s="14" t="str">
        <x:v>PASS — review returns 12 recorded question/code pairs without private focus or corpora.</x:v>
      </x:c>
      <x:c r="V48" s="14" t="str">
        <x:v>Verified</x:v>
      </x:c>
      <x:c r="W48" s="14" t="str">
        <x:v>No</x:v>
      </x:c>
      <x:c r="X48" s="14" t="str"/>
      <x:c r="Y48" s="14" t="str">
        <x:v>Feature audit: make mirrorloopai.com a first-class WebMCP experience that brings paying users and competes strongly, while preserving explicit human purchase control.</x:v>
      </x:c>
    </x:row>
    <x:row r="49">
      <x:c r="A49" s="14" t="str">
        <x:v>WM-007</x:v>
      </x:c>
      <x:c r="B49" s="14" t="str">
        <x:v>Agent completes and displays reflection</x:v>
      </x:c>
      <x:c r="C49" s="14" t="str">
        <x:v>WebMCP</x:v>
      </x:c>
      <x:c r="D49" s="14" t="str">
        <x:v>web/lib/webmcp.js; web/app.js; web/lib/quiz-core.js</x:v>
      </x:c>
      <x:c r="E49" s="14" t="str">
        <x:v>complete_reflection</x:v>
      </x:c>
      <x:c r="F49" s="14" t="str">
        <x:v>Agent-assisted participant</x:v>
      </x:c>
      <x:c r="G49" s="14" t="str">
        <x:v>As a participant, I want my agent to complete the reflection only after all questions, so that I receive the same visible, bounded result as a direct user.</x:v>
      </x:c>
      <x:c r="H49" s="14" t="str">
        <x:v>Premature completion rejects; complete input uses deterministic scoring, displays the result, and returns primary/supporting lenses, bounded action, and non-diagnostic boundary.</x:v>
      </x:c>
      <x:c r="I49" s="14" t="str">
        <x:v>PASS — full agent flow resolves Horizon Signal and matches direct deterministic scoring and visible result.</x:v>
      </x:c>
      <x:c r="J49" s="14" t="str">
        <x:v>Verified</x:v>
      </x:c>
      <x:c r="K49" s="14" t="str">
        <x:v>Automated + browser</x:v>
      </x:c>
      <x:c r="L49" s="14" t="str">
        <x:v>Attempt after fewer than 12 answers; answer all; complete; compare tool payload with visible result and direct scoring test.</x:v>
      </x:c>
      <x:c r="M49" s="14" t="str">
        <x:v>PASS — full agent flow resolves Horizon Signal and matches direct deterministic scoring and visible result. Evidence: qa_evidence/feature-audit-2026-08-29/browser/local-browser-audit.json; qa_evidence/feature-audit-2026-08-29/commands/node-gates.txt.</x:v>
      </x:c>
      <x:c r="N49" s="14" t="str"/>
      <x:c r="O49" s="14" t="str">
        <x:v>None</x:v>
      </x:c>
      <x:c r="P49" s="14" t="str">
        <x:v>No</x:v>
      </x:c>
      <x:c r="Q49" s="14" t="str">
        <x:v>No change required.</x:v>
      </x:c>
      <x:c r="R49" s="14" t="str"/>
      <x:c r="S49" s="14" t="str"/>
      <x:c r="T49" s="14" t="str">
        <x:v>Repeat the initial steps after any tracker-backed change and run adjacent regression tests.</x:v>
      </x:c>
      <x:c r="U49" s="14" t="str">
        <x:v>PASS — full agent flow resolves Horizon Signal and matches direct deterministic scoring and visible result.</x:v>
      </x:c>
      <x:c r="V49" s="14" t="str">
        <x:v>Verified</x:v>
      </x:c>
      <x:c r="W49" s="14" t="str">
        <x:v>No</x:v>
      </x:c>
      <x:c r="X49" s="14" t="str"/>
      <x:c r="Y49" s="14" t="str">
        <x:v>Feature audit: make mirrorloopai.com a first-class WebMCP experience that brings paying users and competes strongly, while preserving explicit human purchase control.</x:v>
      </x:c>
    </x:row>
    <x:row r="50">
      <x:c r="A50" s="14" t="str">
        <x:v>WM-008</x:v>
      </x:c>
      <x:c r="B50" s="14" t="str">
        <x:v>Agent retrieves one public card</x:v>
      </x:c>
      <x:c r="C50" s="14" t="str">
        <x:v>WebMCP</x:v>
      </x:c>
      <x:c r="D50" s="14" t="str">
        <x:v>web/lib/webmcp.js; web/app.js; web/data/cards.json</x:v>
      </x:c>
      <x:c r="E50" s="14" t="str">
        <x:v>get_card</x:v>
      </x:c>
      <x:c r="F50" s="14" t="str">
        <x:v>Card explorer</x:v>
      </x:c>
      <x:c r="G50" s="14" t="str">
        <x:v>As a card explorer, I want my agent to retrieve one card by identifier, so that I can understand its public meaning without exposing private source material.</x:v>
      </x:c>
      <x:c r="H50" s="14" t="str">
        <x:v>IDs 001–144 return bounded public metadata; malformed/out-of-range IDs reject; generation prompts, internal evaluation, and private corpora never appear.</x:v>
      </x:c>
      <x:c r="I50" s="14" t="str">
        <x:v>PASS — Card 144 returns bounded public metadata; 144-card completeness and forbidden-field scans pass.</x:v>
      </x:c>
      <x:c r="J50" s="14" t="str">
        <x:v>Verified</x:v>
      </x:c>
      <x:c r="K50" s="14" t="str">
        <x:v>Automated + security</x:v>
      </x:c>
      <x:c r="L50" s="14" t="str">
        <x:v>Call boundary and representative IDs plus malformed values; compare with 144-card registry; run forbidden-field and secret scans.</x:v>
      </x:c>
      <x:c r="M50" s="14" t="str">
        <x:v>PASS — Card 144 returns bounded public metadata; 144-card completeness and forbidden-field scans pass. Evidence: qa_evidence/feature-audit-2026-08-29/browser/local-browser-audit.json; qa_evidence/feature-audit-2026-08-29/commands/node-gates.txt.</x:v>
      </x:c>
      <x:c r="N50" s="14" t="str"/>
      <x:c r="O50" s="14" t="str">
        <x:v>None</x:v>
      </x:c>
      <x:c r="P50" s="14" t="str">
        <x:v>No</x:v>
      </x:c>
      <x:c r="Q50" s="14" t="str">
        <x:v>No change required.</x:v>
      </x:c>
      <x:c r="R50" s="14" t="str"/>
      <x:c r="S50" s="14" t="str"/>
      <x:c r="T50" s="14" t="str">
        <x:v>Repeat the initial steps after any tracker-backed change and run adjacent regression tests.</x:v>
      </x:c>
      <x:c r="U50" s="14" t="str">
        <x:v>PASS — Card 144 returns bounded public metadata; 144-card completeness and forbidden-field scans pass.</x:v>
      </x:c>
      <x:c r="V50" s="14" t="str">
        <x:v>Verified</x:v>
      </x:c>
      <x:c r="W50" s="14" t="str">
        <x:v>No</x:v>
      </x:c>
      <x:c r="X50" s="14" t="str"/>
      <x:c r="Y50" s="14" t="str">
        <x:v>Feature audit: make mirrorloopai.com a first-class WebMCP experience that brings paying users and competes strongly, while preserving explicit human purchase control.</x:v>
      </x:c>
    </x:row>
    <x:row r="51">
      <x:c r="A51" s="14" t="str">
        <x:v>WM-009</x:v>
      </x:c>
      <x:c r="B51" s="14" t="str">
        <x:v>Agent recommends a relevant digital edition</x:v>
      </x:c>
      <x:c r="C51" s="14" t="str">
        <x:v>WebMCP conversion</x:v>
      </x:c>
      <x:c r="D51" s="14" t="str">
        <x:v>web/lib/webmcp.js; web/app.js; web/data/shop.json</x:v>
      </x:c>
      <x:c r="E51" s="14" t="str">
        <x:v>recommend_card_edition</x:v>
      </x:c>
      <x:c r="F51" s="14" t="str">
        <x:v>Participant considering a purchase</x:v>
      </x:c>
      <x:c r="G51" s="14" t="str">
        <x:v>As a participant considering deeper use, I want a relevant edition recommendation, so that I can find the matching product without surrendering purchase control.</x:v>
      </x:c>
      <x:c r="H51" s="14" t="str">
        <x:v>The read-only tool uses explicit ARC or completed primary lens plus edition/scope, returns a real digital catalog item and /shop path, and exposes neither price nor direct Stripe URL.</x:v>
      </x:c>
      <x:c r="I51" s="14" t="str">
        <x:v>PASS — completed primary lens maps to ARC 01 Full-Color; output declares digital_download and no price/direct Stripe URL.</x:v>
      </x:c>
      <x:c r="J51" s="14" t="str">
        <x:v>Verified</x:v>
      </x:c>
      <x:c r="K51" s="14" t="str">
        <x:v>Automated + browser</x:v>
      </x:c>
      <x:c r="L51" s="14" t="str">
        <x:v>Test explicit ARC, completed-result fallback, complete visual/insight scopes, malformed input, missing context, and response for price/URL leakage.</x:v>
      </x:c>
      <x:c r="M51" s="14" t="str">
        <x:v>PASS — completed primary lens maps to ARC 01 Full-Color; output declares digital_download and no price/direct Stripe URL. Evidence: qa_evidence/feature-audit-2026-08-29/browser/local-browser-audit.json; qa_evidence/feature-audit-2026-08-29/commands/node-gates.txt.</x:v>
      </x:c>
      <x:c r="N51" s="14" t="str"/>
      <x:c r="O51" s="14" t="str">
        <x:v>None</x:v>
      </x:c>
      <x:c r="P51" s="14" t="str">
        <x:v>No</x:v>
      </x:c>
      <x:c r="Q51" s="14" t="str">
        <x:v>No change required.</x:v>
      </x:c>
      <x:c r="R51" s="14" t="str"/>
      <x:c r="S51" s="14" t="str"/>
      <x:c r="T51" s="14" t="str">
        <x:v>Repeat the initial steps after any tracker-backed change and run adjacent regression tests.</x:v>
      </x:c>
      <x:c r="U51" s="14" t="str">
        <x:v>PASS — completed primary lens maps to ARC 01 Full-Color; output declares digital_download and no price/direct Stripe URL.</x:v>
      </x:c>
      <x:c r="V51" s="14" t="str">
        <x:v>Verified</x:v>
      </x:c>
      <x:c r="W51" s="14" t="str">
        <x:v>No</x:v>
      </x:c>
      <x:c r="X51" s="14" t="str"/>
      <x:c r="Y51" s="14" t="str">
        <x:v>Feature audit: make mirrorloopai.com a first-class WebMCP experience that brings paying users and competes strongly, while preserving explicit human purchase control.</x:v>
      </x:c>
    </x:row>
    <x:row r="52">
      <x:c r="A52" s="14" t="str">
        <x:v>WM-010</x:v>
      </x:c>
      <x:c r="B52" s="14" t="str">
        <x:v>WebMCP security and commerce boundary</x:v>
      </x:c>
      <x:c r="C52" s="14" t="str">
        <x:v>WebMCP safety</x:v>
      </x:c>
      <x:c r="D52" s="14" t="str">
        <x:v>web/lib/webmcp.js; api/internal/commerce/checkout.go</x:v>
      </x:c>
      <x:c r="E52" s="14" t="str">
        <x:v>All WebMCP tools</x:v>
      </x:c>
      <x:c r="F52" s="14" t="str">
        <x:v>Participant and buyer</x:v>
      </x:c>
      <x:c r="G52" s="14" t="str">
        <x:v>As a participant, I want AI assistance bounded to explanation and local navigation, so that email, contracts, and payments remain my explicit actions.</x:v>
      </x:c>
      <x:c r="H52" s="14" t="str">
        <x:v>Every schema rejects unknown fields; same-origin scope is retained; annotations match read/write behavior; no tool submits email, mutates cart, creates checkout, or sends payment.</x:v>
      </x:c>
      <x:c r="I52" s="14" t="str">
        <x:v>PASS — strict schemas, same-origin registration, annotations, and no email/cart/checkout tool path verified.</x:v>
      </x:c>
      <x:c r="J52" s="14" t="str">
        <x:v>Verified</x:v>
      </x:c>
      <x:c r="K52" s="14" t="str">
        <x:v>Automated security review</x:v>
      </x:c>
      <x:c r="L52" s="14" t="str">
        <x:v>Inspect all registrations and annotations; fuzz unknown properties; scan tool definitions for email/checkout/payment calls and cross-origin exposure.</x:v>
      </x:c>
      <x:c r="M52" s="14" t="str">
        <x:v>PASS — strict schemas, same-origin registration, annotations, and no email/cart/checkout tool path verified. Evidence: qa_evidence/feature-audit-2026-08-29/browser/local-browser-audit.json; qa_evidence/feature-audit-2026-08-29/commands/node-gates.txt.</x:v>
      </x:c>
      <x:c r="N52" s="14" t="str"/>
      <x:c r="O52" s="14" t="str">
        <x:v>None</x:v>
      </x:c>
      <x:c r="P52" s="14" t="str">
        <x:v>No</x:v>
      </x:c>
      <x:c r="Q52" s="14" t="str">
        <x:v>No change required.</x:v>
      </x:c>
      <x:c r="R52" s="14" t="str"/>
      <x:c r="S52" s="14" t="str"/>
      <x:c r="T52" s="14" t="str">
        <x:v>Repeat the initial steps after any tracker-backed change and run adjacent regression tests.</x:v>
      </x:c>
      <x:c r="U52" s="14" t="str">
        <x:v>PASS — strict schemas, same-origin registration, annotations, and no email/cart/checkout tool path verified.</x:v>
      </x:c>
      <x:c r="V52" s="14" t="str">
        <x:v>Verified</x:v>
      </x:c>
      <x:c r="W52" s="14" t="str">
        <x:v>No</x:v>
      </x:c>
      <x:c r="X52" s="14" t="str"/>
      <x:c r="Y52" s="14" t="str">
        <x:v>Feature audit: make mirrorloopai.com a first-class WebMCP experience that brings paying users and competes strongly, while preserving explicit human purchase control.</x:v>
      </x:c>
    </x:row>
    <x:row r="53">
      <x:c r="A53" s="14" t="str">
        <x:v>WM-011</x:v>
      </x:c>
      <x:c r="B53" s="14" t="str">
        <x:v>Native public-origin WebMCP discovery</x:v>
      </x:c>
      <x:c r="C53" s="14" t="str">
        <x:v>WebMCP release</x:v>
      </x:c>
      <x:c r="D53" s="14" t="str">
        <x:v>web/index.html; web/app.js; web/lib/webmcp.js; firebase.json</x:v>
      </x:c>
      <x:c r="E53" s="14" t="str">
        <x:v>https://mirrorloopai.com/ in Chrome WebMCP Inspector</x:v>
      </x:c>
      <x:c r="F53" s="14" t="str">
        <x:v>Competition judge using Chrome</x:v>
      </x:c>
      <x:c r="G53" s="14" t="str">
        <x:v>As a competition judge, I want Chrome to discover and execute the live tools immediately, so that I can evaluate a working public submission.</x:v>
      </x:c>
      <x:c r="H53" s="14" t="str">
        <x:v>The deployed origin contains a valid origin-trial token and current bundle; native Inspector discovers eight tools with correct schemas and can execute a safe start/read/explain flow.</x:v>
      </x:c>
      <x:c r="I53" s="14" t="str">
        <x:v>FAIL — The deployed HTML has no origin-trial token or WebMCP status and the deployed app bundle has no installMirrorLoopWebMCP import.</x:v>
      </x:c>
      <x:c r="J53" s="14" t="str">
        <x:v>Failed Test</x:v>
      </x:c>
      <x:c r="K53" s="14" t="str">
        <x:v>Production browser + Inspector</x:v>
      </x:c>
      <x:c r="L53" s="14" t="str">
        <x:v>Fetch deployed HTML/bundle; open current Chrome with WebMCP enabled; inspect native tool list; execute safe read/local tools; capture screenshot and console/network evidence.</x:v>
      </x:c>
      <x:c r="M53" s="14" t="str">
        <x:v>FAIL — The deployed HTML has no origin-trial token or WebMCP status and the deployed app bundle has no installMirrorLoopWebMCP import. Evidence: qa_evidence/feature-audit-2026-08-29/commands/production-audit.txt.</x:v>
      </x:c>
      <x:c r="N53" s="14" t="str">
        <x:v>Chrome cannot discover any MIRROR//LOOP tools on the public competition origin.</x:v>
      </x:c>
      <x:c r="O53" s="14" t="str">
        <x:v>Critical</x:v>
      </x:c>
      <x:c r="P53" s="14" t="str">
        <x:v>Yes</x:v>
      </x:c>
      <x:c r="Q53" s="14" t="str"/>
      <x:c r="R53" s="14" t="str"/>
      <x:c r="S53" s="14" t="str"/>
      <x:c r="T53" s="14" t="str">
        <x:v>Repeat the initial steps after any tracker-backed change and run adjacent regression tests.</x:v>
      </x:c>
      <x:c r="U53" s="14" t="str"/>
      <x:c r="V53" s="14" t="str">
        <x:v>Failed Test</x:v>
      </x:c>
      <x:c r="W53" s="14" t="str">
        <x:v>No</x:v>
      </x:c>
      <x:c r="X53" s="14" t="str">
        <x:v>Native Inspector—not an injected test double—is the release authority.</x:v>
      </x:c>
      <x:c r="Y53" s="14" t="str">
        <x:v>Feature audit: make mirrorloopai.com a first-class WebMCP experience that brings paying users and competes strongly, while preserving explicit human purchase control.</x:v>
      </x:c>
    </x:row>
    <x:row r="54">
      <x:c r="A54" s="14" t="str">
        <x:v>CV-001</x:v>
      </x:c>
      <x:c r="B54" s="14" t="str">
        <x:v>Reflection-to-collection next step</x:v>
      </x:c>
      <x:c r="C54" s="14" t="str">
        <x:v>Conversion</x:v>
      </x:c>
      <x:c r="D54" s="14" t="str">
        <x:v>web/index.html; web/app.js; web/shop.html</x:v>
      </x:c>
      <x:c r="E54" s="14" t="str">
        <x:v>Result panel</x:v>
      </x:c>
      <x:c r="F54" s="14" t="str">
        <x:v>Participant who received value</x:v>
      </x:c>
      <x:c r="G54" s="14" t="str">
        <x:v>As a participant who found the reflection useful, I want a clear optional path to the relevant card collection, so that I can continue with a product that matches my result.</x:v>
      </x:c>
      <x:c r="H54" s="14" t="str">
        <x:v>After result delivery, the page offers a non-coercive collection action alongside email and retake; it explains digital fulfillment and keeps purchase optional.</x:v>
      </x:c>
      <x:c r="I54" s="14" t="str">
        <x:v>FAIL — After direct completion the result panel exposes only the privacy link, email form, and retake button; no collection action or matched edition is visible.</x:v>
      </x:c>
      <x:c r="J54" s="14" t="str">
        <x:v>Failed Test</x:v>
      </x:c>
      <x:c r="K54" s="14" t="str">
        <x:v>Browser + content</x:v>
      </x:c>
      <x:c r="L54" s="14" t="str">
        <x:v>Complete quiz directly and through WebMCP; inspect result actions, destination, wording, focus order, and mobile layout.</x:v>
      </x:c>
      <x:c r="M54" s="14" t="str">
        <x:v>FAIL — After direct completion the result panel exposes only the privacy link, email form, and retake button; no collection action or matched edition is visible. Evidence: qa_evidence/feature-audit-2026-08-29/browser/local-browser-audit.json.</x:v>
      </x:c>
      <x:c r="N54" s="14" t="str">
        <x:v>Users who receive value have no contextual path to the paid collection.</x:v>
      </x:c>
      <x:c r="O54" s="14" t="str">
        <x:v>High</x:v>
      </x:c>
      <x:c r="P54" s="14" t="str">
        <x:v>Yes</x:v>
      </x:c>
      <x:c r="Q54" s="14" t="str"/>
      <x:c r="R54" s="14" t="str"/>
      <x:c r="S54" s="14" t="str"/>
      <x:c r="T54" s="14" t="str">
        <x:v>Repeat the initial steps after any tracker-backed change and run adjacent regression tests.</x:v>
      </x:c>
      <x:c r="U54" s="14" t="str"/>
      <x:c r="V54" s="14" t="str">
        <x:v>Failed Test</x:v>
      </x:c>
      <x:c r="W54" s="14" t="str">
        <x:v>No</x:v>
      </x:c>
      <x:c r="X54" s="14" t="str"/>
      <x:c r="Y54" s="14" t="str">
        <x:v>Feature audit: make mirrorloopai.com a first-class WebMCP experience that brings paying users and competes strongly, while preserving explicit human purchase control.</x:v>
      </x:c>
    </x:row>
    <x:row r="55">
      <x:c r="A55" s="14" t="str">
        <x:v>CV-002</x:v>
      </x:c>
      <x:c r="B55" s="14" t="str">
        <x:v>Cross-route journey continuity</x:v>
      </x:c>
      <x:c r="C55" s="14" t="str">
        <x:v>Navigation and conversion</x:v>
      </x:c>
      <x:c r="D55" s="14" t="str">
        <x:v>web/index.html; web/shop.html; web/terms.html; web/privacy.html</x:v>
      </x:c>
      <x:c r="E55" s="14" t="str">
        <x:v>Home, quiz, shop, terms, privacy</x:v>
      </x:c>
      <x:c r="F55" s="14" t="str">
        <x:v>Visitor moving between reflection and purchase</x:v>
      </x:c>
      <x:c r="G55" s="14" t="str">
        <x:v>As a visitor, I want predictable navigation among the reflection, collection, terms, and privacy pages, so that I never lose orientation.</x:v>
      </x:c>
      <x:c r="H55" s="14" t="str">
        <x:v>All primary/footer links resolve; shop returns to reflection; legal pages return to relevant journey; clean URLs and legacy .html URLs behave consistently.</x:v>
      </x:c>
      <x:c r="I55" s="14" t="str">
        <x:v>PASS — all internal links resolve; clean and .html routes respond or redirect consistently.</x:v>
      </x:c>
      <x:c r="J55" s="14" t="str">
        <x:v>Verified</x:v>
      </x:c>
      <x:c r="K55" s="14" t="str">
        <x:v>Automated links + browser</x:v>
      </x:c>
      <x:c r="L55" s="14" t="str">
        <x:v>Crawl internal links and redirects; activate primary/footer/legal return links at desktop and mobile sizes; verify headings and focus destinations.</x:v>
      </x:c>
      <x:c r="M55" s="14" t="str">
        <x:v>PASS — all internal links resolve; clean and .html routes respond or redirect consistently. Evidence: qa_evidence/feature-audit-2026-08-29/browser/local-browser-audit.json; qa_evidence/feature-audit-2026-08-29/commands/node-gates.txt.</x:v>
      </x:c>
      <x:c r="N55" s="14" t="str"/>
      <x:c r="O55" s="14" t="str">
        <x:v>None</x:v>
      </x:c>
      <x:c r="P55" s="14" t="str">
        <x:v>No</x:v>
      </x:c>
      <x:c r="Q55" s="14" t="str">
        <x:v>No change required.</x:v>
      </x:c>
      <x:c r="R55" s="14" t="str"/>
      <x:c r="S55" s="14" t="str"/>
      <x:c r="T55" s="14" t="str">
        <x:v>Repeat the initial steps after any tracker-backed change and run adjacent regression tests.</x:v>
      </x:c>
      <x:c r="U55" s="14" t="str">
        <x:v>PASS — all internal links resolve; clean and .html routes respond or redirect consistently.</x:v>
      </x:c>
      <x:c r="V55" s="14" t="str">
        <x:v>Verified</x:v>
      </x:c>
      <x:c r="W55" s="14" t="str">
        <x:v>No</x:v>
      </x:c>
      <x:c r="X55" s="14" t="str"/>
      <x:c r="Y55" s="14" t="str">
        <x:v>Feature audit: make mirrorloopai.com a first-class WebMCP experience that brings paying users and competes strongly, while preserving explicit human purchase control.</x:v>
      </x:c>
    </x:row>
    <x:row r="56">
      <x:c r="A56" s="14" t="str">
        <x:v>CP-001</x:v>
      </x:c>
      <x:c r="B56" s="14" t="str">
        <x:v>Agent and crawler discovery metadata</x:v>
      </x:c>
      <x:c r="C56" s="14" t="str">
        <x:v>Competition presentation</x:v>
      </x:c>
      <x:c r="D56" s="14" t="str">
        <x:v>web/llms.txt; web/robots.txt; web/sitemap.xml; web/index.html</x:v>
      </x:c>
      <x:c r="E56" s="14" t="str">
        <x:v>/llms.txt; /robots.txt; /sitemap.xml; document head</x:v>
      </x:c>
      <x:c r="F56" s="14" t="str">
        <x:v>Judge, agent, and crawler</x:v>
      </x:c>
      <x:c r="G56" s="14" t="str">
        <x:v>As a judge or compatible agent, I want accurate public metadata describing the experience, so that I can discover its purpose and safe entry points.</x:v>
      </x:c>
      <x:c r="H56" s="14" t="str">
        <x:v>Metadata names the quiz and collection truthfully, includes current canonical routes, avoids private implementation claims, and does not advertise unavailable capabilities.</x:v>
      </x:c>
      <x:c r="I56" s="14" t="str">
        <x:v>FAIL — llms.txt describes only the quiz and privacy page; it omits the shop and all eight WebMCP tools.</x:v>
      </x:c>
      <x:c r="J56" s="14" t="str">
        <x:v>Failed Test</x:v>
      </x:c>
      <x:c r="K56" s="14" t="str">
        <x:v>Automated content + production smoke</x:v>
      </x:c>
      <x:c r="L56" s="14" t="str">
        <x:v>Parse metadata and sitemap; compare routes and descriptions with deployed features; verify HTTP status and content type.</x:v>
      </x:c>
      <x:c r="M56" s="14" t="str">
        <x:v>FAIL — llms.txt describes only the quiz and privacy page; it omits the shop and all eight WebMCP tools. Evidence: qa_evidence/feature-audit-2026-08-29/commands/metadata-links.txt.</x:v>
      </x:c>
      <x:c r="N56" s="14" t="str">
        <x:v>Agent-facing discovery metadata is incomplete for the competition and commerce experience.</x:v>
      </x:c>
      <x:c r="O56" s="14" t="str">
        <x:v>Medium</x:v>
      </x:c>
      <x:c r="P56" s="14" t="str">
        <x:v>Yes</x:v>
      </x:c>
      <x:c r="Q56" s="14" t="str"/>
      <x:c r="R56" s="14" t="str"/>
      <x:c r="S56" s="14" t="str"/>
      <x:c r="T56" s="14" t="str">
        <x:v>Repeat the initial steps after any tracker-backed change and run adjacent regression tests.</x:v>
      </x:c>
      <x:c r="U56" s="14" t="str"/>
      <x:c r="V56" s="14" t="str">
        <x:v>Failed Test</x:v>
      </x:c>
      <x:c r="W56" s="14" t="str">
        <x:v>No</x:v>
      </x:c>
      <x:c r="X56" s="14" t="str"/>
      <x:c r="Y56" s="14" t="str">
        <x:v>Feature audit: make mirrorloopai.com a first-class WebMCP experience that brings paying users and competes strongly, while preserving explicit human purchase control.</x:v>
      </x:c>
    </x:row>
    <x:row r="57">
      <x:c r="A57" s="14" t="str">
        <x:v>WM-012</x:v>
      </x:c>
      <x:c r="B57" s="14" t="str">
        <x:v>Revise a prior agent-recorded answer</x:v>
      </x:c>
      <x:c r="C57" s="14" t="str">
        <x:v>WebMCP agency</x:v>
      </x:c>
      <x:c r="D57" s="14" t="str">
        <x:v>web/lib/webmcp.js; web/app.js</x:v>
      </x:c>
      <x:c r="E57" s="14" t="str">
        <x:v>answer_reflection_question</x:v>
      </x:c>
      <x:c r="F57" s="14" t="str">
        <x:v>Agent-assisted participant</x:v>
      </x:c>
      <x:c r="G57" s="14" t="str">
        <x:v>As an agent-assisted participant, I want to correct a previously recorded choice, so that one misunderstanding does not force me to restart the whole reflection.</x:v>
      </x:c>
      <x:c r="H57" s="14" t="str">
        <x:v>With explicit human confirmation, the existing answer tool may update an already answered earlier question without advancing or disturbing the current question; unanswered future questions remain forbidden.</x:v>
      </x:c>
      <x:c r="I57" s="14" t="str">
        <x:v>FAIL — answer_reflection_question rejects every question other than the active one, including already answered questions.</x:v>
      </x:c>
      <x:c r="J57" s="14" t="str">
        <x:v>Failed Test</x:v>
      </x:c>
      <x:c r="K57" s="14" t="str">
        <x:v>Automated + browser</x:v>
      </x:c>
      <x:c r="L57" s="14" t="str">
        <x:v>Start; answer questions 1 and 2; explicitly confirm a different choice for question 1; verify question 1 changes while question 3 remains active; attempt future question and expect rejection.</x:v>
      </x:c>
      <x:c r="M57" s="14" t="str">
        <x:v>FAIL — answer_reflection_question rejects every question other than the active one, including already answered questions. Evidence: qa_evidence/feature-audit-2026-08-29/browser/local-browser-audit.json.</x:v>
      </x:c>
      <x:c r="N57" s="14" t="str">
        <x:v>Agent-assisted users cannot correct a prior answer without restarting.</x:v>
      </x:c>
      <x:c r="O57" s="14" t="str">
        <x:v>High</x:v>
      </x:c>
      <x:c r="P57" s="14" t="str">
        <x:v>Yes</x:v>
      </x:c>
      <x:c r="Q57" s="14" t="str"/>
      <x:c r="R57" s="14" t="str"/>
      <x:c r="S57" s="14" t="str"/>
      <x:c r="T57" s="14" t="str">
        <x:v>Repeat correction and future-skip cases plus the full 12-question tool flow.</x:v>
      </x:c>
      <x:c r="U57" s="14" t="str"/>
      <x:c r="V57" s="14" t="str">
        <x:v>Failed Test</x:v>
      </x:c>
      <x:c r="W57" s="14" t="str">
        <x:v>No</x:v>
      </x:c>
      <x:c r="X57" s="14" t="str">
        <x:v>Keep the suite at eight tools by safely extending answer_reflection_question rather than adding a payment-adjacent or redundant tool.</x:v>
      </x:c>
      <x:c r="Y57" s="14" t="str">
        <x:v>Feature audit: make mirrorloopai.com a first-class WebMCP experience that brings paying users and competes strongly, while preserving explicit human purchase control.</x:v>
      </x:c>
    </x:row>
  </x:sheetData>
  <x:dataValidations count="4">
    <x:dataValidation type="list" sqref="J2:J57">
      <x:formula1>"Not Reviewed,Story Drafted,Ready For Test,Failed Test,Fix In Progress,Fixed,Retest Failed,Verified,Blocked,Needs Product Decision"</x:formula1>
    </x:dataValidation>
    <x:dataValidation type="list" sqref="O2:O57">
      <x:formula1>"Critical,High,Medium,Low,None"</x:formula1>
    </x:dataValidation>
    <x:dataValidation type="list" sqref="K2:K57">
      <x:formula1>"Code Review,Manual UI,Automated Test,Smoke Test,Regression Test,Accessibility Review,Responsive Review,Integration Test"</x:formula1>
    </x:dataValidation>
    <x:dataValidation type="list" sqref="V2:V57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COUNTA('Tracker'!$A$2:$A$57)</x:f>
        <x:v>56</x:v>
      </x:c>
      <x:c r="D4" s="21" t="str">
        <x:v>Critical</x:v>
      </x:c>
      <x:c r="E4" s="21" t="n">
        <x:f>COUNTIFS('Tracker'!$O$2:$O$57,"Critical",'Tracker'!$V$2:$V$57,"&lt;&gt;Verified")</x:f>
        <x:v>3</x:v>
      </x:c>
    </x:row>
    <x:row r="5" ht="22" customHeight="1">
      <x:c r="A5" s="21" t="str">
        <x:v>Current Verified</x:v>
      </x:c>
      <x:c r="B5" s="21" t="n">
        <x:f>COUNTIF('Tracker'!$J$2:$J$57,"Verified")</x:f>
        <x:v>50</x:v>
      </x:c>
      <x:c r="D5" s="21" t="str">
        <x:v>High</x:v>
      </x:c>
      <x:c r="E5" s="21" t="n">
        <x:f>COUNTIFS('Tracker'!$O$2:$O$57,"High",'Tracker'!$V$2:$V$57,"&lt;&gt;Verified")</x:f>
        <x:v>2</x:v>
      </x:c>
    </x:row>
    <x:row r="6" ht="22" customHeight="1">
      <x:c r="A6" s="21" t="str">
        <x:v>Failed Test</x:v>
      </x:c>
      <x:c r="B6" s="21" t="n">
        <x:f>COUNTIF('Tracker'!$J$2:$J$57,"Failed Test")</x:f>
        <x:v>6</x:v>
      </x:c>
      <x:c r="D6" s="21" t="str">
        <x:v>Medium</x:v>
      </x:c>
      <x:c r="E6" s="21" t="n">
        <x:f>COUNTIFS('Tracker'!$O$2:$O$57,"Medium",'Tracker'!$V$2:$V$57,"&lt;&gt;Verified")</x:f>
        <x:v>1</x:v>
      </x:c>
    </x:row>
    <x:row r="7" ht="22" customHeight="1">
      <x:c r="A7" s="21" t="str">
        <x:v>Fix In Progress</x:v>
      </x:c>
      <x:c r="B7" s="21" t="n">
        <x:f>COUNTIF('Tracker'!$J$2:$J$57,"Fix In Progress")</x:f>
        <x:v>0</x:v>
      </x:c>
      <x:c r="D7" s="21" t="str">
        <x:v>Low</x:v>
      </x:c>
      <x:c r="E7" s="21" t="n">
        <x:f>COUNTIFS('Tracker'!$O$2:$O$57,"Low",'Tracker'!$V$2:$V$57,"&lt;&gt;Verified")</x:f>
        <x:v>0</x:v>
      </x:c>
    </x:row>
    <x:row r="8" ht="22" customHeight="1">
      <x:c r="A8" s="21" t="str">
        <x:v>Fixed</x:v>
      </x:c>
      <x:c r="B8" s="21" t="n">
        <x:f>COUNTIF('Tracker'!$J$2:$J$57,"Fixed")</x:f>
        <x:v>0</x:v>
      </x:c>
      <x:c r="D8" s="21" t="str">
        <x:v>Needs Product Decision</x:v>
      </x:c>
      <x:c r="E8" s="21" t="n">
        <x:f>COUNTIF('Tracker'!$W$2:$W$57,"Yes")</x:f>
        <x:v>1</x:v>
      </x:c>
    </x:row>
    <x:row r="9" ht="22" customHeight="1">
      <x:c r="A9" s="21" t="str">
        <x:v>Final Verified</x:v>
      </x:c>
      <x:c r="B9" s="21" t="n">
        <x:f>COUNTIF('Tracker'!$V$2:$V$57,"Verified")</x:f>
        <x:v>50</x:v>
      </x:c>
      <x:c r="D9" s="21" t="str">
        <x:v>Rows With Commit Hash</x:v>
      </x:c>
      <x:c r="E9" s="21" t="n">
        <x:v>22</x:v>
      </x:c>
    </x:row>
    <x:row r="10" ht="22" customHeight="1">
      <x:c r="A10" s="21" t="str">
        <x:v>Blocked</x:v>
      </x:c>
      <x:c r="B10" s="21" t="n">
        <x:f>COUNTIF('Tracker'!$V$2:$V$57,"Blocked")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