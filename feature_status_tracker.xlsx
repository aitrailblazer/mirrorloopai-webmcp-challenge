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e93b71e63ae4369" /></Relationships>
</file>

<file path=xl/workbook.xml><?xml version="1.0" encoding="utf-8"?>
<x:workbook xmlns:x="http://schemas.openxmlformats.org/spreadsheetml/2006/main">
  <x:sheets>
    <x:sheet xmlns:r="http://schemas.openxmlformats.org/officeDocument/2006/relationships" name="Tracker" sheetId="1" r:id="R812962b0c11a4de3"/>
    <x:sheet xmlns:r="http://schemas.openxmlformats.org/officeDocument/2006/relationships" name="Dashboard" sheetId="2" r:id="Rddbc64d55dce49ec"/>
    <x:sheet xmlns:r="http://schemas.openxmlformats.org/officeDocument/2006/relationships" name="Lists" sheetId="3" r:id="R099e7b81255d48f2"/>
    <x:sheet xmlns:r="http://schemas.openxmlformats.org/officeDocument/2006/relationships" name="Instructions" sheetId="4" r:id="R9700a12515f14c9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dd794b2377447ac" /><Relationship Type="http://schemas.openxmlformats.org/officeDocument/2006/relationships/theme" Target="/xl/theme/theme1.xml" Id="R9da61b0c5c51459a" /><Relationship Type="http://schemas.openxmlformats.org/officeDocument/2006/relationships/sharedStrings" Target="/xl/sharedStrings.xml" Id="R2daba29c98ad468d" /><Relationship Type="http://schemas.openxmlformats.org/officeDocument/2006/relationships/worksheet" Target="/xl/worksheets/sheet1.xml" Id="R812962b0c11a4de3" /><Relationship Type="http://schemas.openxmlformats.org/officeDocument/2006/relationships/worksheet" Target="/xl/worksheets/sheet2.xml" Id="Rddbc64d55dce49ec" /><Relationship Type="http://schemas.openxmlformats.org/officeDocument/2006/relationships/worksheet" Target="/xl/worksheets/sheet3.xml" Id="R099e7b81255d48f2" /><Relationship Type="http://schemas.openxmlformats.org/officeDocument/2006/relationships/worksheet" Target="/xl/worksheets/sheet4.xml" Id="R9700a12515f14c9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sheetData>
  <x:dataValidations count="4">
    <x:dataValidation type="list" sqref="J2:J87">
      <x:formula1>"Not Reviewed,Story Drafted,Ready For Test,Failed Test,Fix In Progress,Fixed,Retest Failed,Verified,Blocked,Needs Product Decision"</x:formula1>
    </x:dataValidation>
    <x:dataValidation type="list" sqref="O2:O87">
      <x:formula1>"Critical,High,Medium,Low,None"</x:formula1>
    </x:dataValidation>
    <x:dataValidation type="list" sqref="K2:K87">
      <x:formula1>"Code Review,Manual UI,Automated Test,Smoke Test,Regression Test,Accessibility Review,Responsive Review,Integration Test"</x:formula1>
    </x:dataValidation>
    <x:dataValidation type="list" sqref="V2:V87">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COUNTA('Tracker'!$A$2:$A$87)</x:f>
        <x:v>86</x:v>
      </x:c>
      <x:c r="D4" s="21" t="str">
        <x:v>Critical</x:v>
      </x:c>
      <x:c r="E4" s="21" t="n">
        <x:f>COUNTIFS('Tracker'!$O$2:$O$87,"Critical",'Tracker'!$V$2:$V$87,"&lt;&gt;Verified")</x:f>
        <x:v>4</x:v>
      </x:c>
    </x:row>
    <x:row r="5" ht="22" customHeight="1">
      <x:c r="A5" s="21" t="str">
        <x:v>Current Verified</x:v>
      </x:c>
      <x:c r="B5" s="21" t="n">
        <x:f>COUNTIF('Tracker'!$J$2:$J$87,"Verified")</x:f>
        <x:v>57</x:v>
      </x:c>
      <x:c r="D5" s="21" t="str">
        <x:v>High</x:v>
      </x:c>
      <x:c r="E5" s="21" t="n">
        <x:f>COUNTIFS('Tracker'!$O$2:$O$87,"High",'Tracker'!$V$2:$V$87,"&lt;&gt;Verified")</x:f>
        <x:v>1</x:v>
      </x:c>
    </x:row>
    <x:row r="6" ht="22" customHeight="1">
      <x:c r="A6" s="21" t="str">
        <x:v>Failed Test</x:v>
      </x:c>
      <x:c r="B6" s="21" t="n">
        <x:f>COUNTIF('Tracker'!$J$2:$J$87,"Failed Test")</x:f>
        <x:v>1</x:v>
      </x:c>
      <x:c r="D6" s="21" t="str">
        <x:v>Medium</x:v>
      </x:c>
      <x:c r="E6" s="21" t="n">
        <x:f>COUNTIFS('Tracker'!$O$2:$O$87,"Medium",'Tracker'!$V$2:$V$87,"&lt;&gt;Verified")</x:f>
        <x:v>0</x:v>
      </x:c>
    </x:row>
    <x:row r="7" ht="22" customHeight="1">
      <x:c r="A7" s="21" t="str">
        <x:v>Fix In Progress</x:v>
      </x:c>
      <x:c r="B7" s="21" t="n">
        <x:f>COUNTIF('Tracker'!$J$2:$J$87,"Fix In Progress")</x:f>
        <x:v>0</x:v>
      </x:c>
      <x:c r="D7" s="21" t="str">
        <x:v>Low</x:v>
      </x:c>
      <x:c r="E7" s="21" t="n">
        <x:f>COUNTIFS('Tracker'!$O$2:$O$87,"Low",'Tracker'!$V$2:$V$87,"&lt;&gt;Verified")</x:f>
        <x:v>0</x:v>
      </x:c>
    </x:row>
    <x:row r="8" ht="22" customHeight="1">
      <x:c r="A8" s="21" t="str">
        <x:v>Fixed</x:v>
      </x:c>
      <x:c r="B8" s="21" t="n">
        <x:f>COUNTIF('Tracker'!$J$2:$J$87,"Fixed")</x:f>
        <x:v>24</x:v>
      </x:c>
      <x:c r="D8" s="21" t="str">
        <x:v>Needs Product Decision</x:v>
      </x:c>
      <x:c r="E8" s="21" t="n">
        <x:f>COUNTIF('Tracker'!$W$2:$W$87,"Yes")</x:f>
        <x:v>1</x:v>
      </x:c>
    </x:row>
    <x:row r="9" ht="22" customHeight="1">
      <x:c r="A9" s="21" t="str">
        <x:v>Final Verified</x:v>
      </x:c>
      <x:c r="B9" s="21" t="n">
        <x:f>COUNTIF('Tracker'!$V$2:$V$87,"Verified")</x:f>
        <x:v>81</x:v>
      </x:c>
      <x:c r="D9" s="21" t="str">
        <x:v>Rows With Commit Hash</x:v>
      </x:c>
      <x:c r="E9" s="21" t="n">
        <x:v>54</x:v>
      </x:c>
    </x:row>
    <x:row r="10" ht="22" customHeight="1">
      <x:c r="A10" s="21" t="str">
        <x:v>Blocked</x:v>
      </x:c>
      <x:c r="B10" s="21" t="n">
        <x:f>COUNTIF('Tracker'!$V$2:$V$87,"Blocked")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