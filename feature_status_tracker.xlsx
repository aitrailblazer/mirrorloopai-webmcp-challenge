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d77b60f21474766" /></Relationships>
</file>

<file path=xl/workbook.xml><?xml version="1.0" encoding="utf-8"?>
<x:workbook xmlns:x="http://schemas.openxmlformats.org/spreadsheetml/2006/main">
  <x:sheets>
    <x:sheet xmlns:r="http://schemas.openxmlformats.org/officeDocument/2006/relationships" name="Tracker" sheetId="1" r:id="Ra78d70d03ba34548"/>
    <x:sheet xmlns:r="http://schemas.openxmlformats.org/officeDocument/2006/relationships" name="Dashboard" sheetId="2" r:id="R4e8dff0b5c8e4285"/>
    <x:sheet xmlns:r="http://schemas.openxmlformats.org/officeDocument/2006/relationships" name="Lists" sheetId="3" r:id="Rbb67801b2f8f4f7d"/>
    <x:sheet xmlns:r="http://schemas.openxmlformats.org/officeDocument/2006/relationships" name="Instructions" sheetId="4" r:id="Ra1708d25c9a64f5d"/>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2147326949946d7" /><Relationship Type="http://schemas.openxmlformats.org/officeDocument/2006/relationships/theme" Target="/xl/theme/theme1.xml" Id="R63ce09202e2043c9" /><Relationship Type="http://schemas.openxmlformats.org/officeDocument/2006/relationships/sharedStrings" Target="/xl/sharedStrings.xml" Id="Rb1ae6e052cdb4156" /><Relationship Type="http://schemas.openxmlformats.org/officeDocument/2006/relationships/worksheet" Target="/xl/worksheets/sheet1.xml" Id="Ra78d70d03ba34548" /><Relationship Type="http://schemas.openxmlformats.org/officeDocument/2006/relationships/worksheet" Target="/xl/worksheets/sheet2.xml" Id="R4e8dff0b5c8e4285" /><Relationship Type="http://schemas.openxmlformats.org/officeDocument/2006/relationships/worksheet" Target="/xl/worksheets/sheet3.xml" Id="Rbb67801b2f8f4f7d" /><Relationship Type="http://schemas.openxmlformats.org/officeDocument/2006/relationships/worksheet" Target="/xl/worksheets/sheet4.xml" Id="Ra1708d25c9a64f5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9740b57</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9740b57</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9740b57</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9740b57</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9740b57</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9740b57</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592c08a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FAIL — GitHub reports visibility PRIVATE. GitHub detects the top-level MIT license, but the mandatory anonymous public-source requirement is not met.</x:v>
      </x:c>
      <x:c r="J60" s="14" t="str">
        <x:v>Failed Test</x:v>
      </x:c>
      <x:c r="K60" s="14" t="str">
        <x:v>GitHub metadata inspection</x:v>
      </x:c>
      <x:c r="L60" s="14" t="str">
        <x:v>Query repository visibility and license metadata; verify anonymous public access requirement and top-level license.</x:v>
      </x:c>
      <x:c r="M60" s="14" t="str">
        <x:v>FAIL — visibility is PRIVATE; MIT license is detected. Evidence: qa_evidence/feature-audit-2026-08-30/commands/devpost-submission-baseline.txt.</x:v>
      </x:c>
      <x:c r="N60" s="14" t="str">
        <x:v>Repository is private, while the official rules require a public repository.</x:v>
      </x:c>
      <x:c r="O60" s="14" t="str">
        <x:v>Critical</x:v>
      </x:c>
      <x:c r="P60" s="14" t="str">
        <x:v>Yes — external repository setting change requires operator confirmation.</x:v>
      </x:c>
      <x:c r="Q60" s="14" t="str">
        <x:v>Expanded public-facing source, license, setup, and submission documentation; repository visibility was intentionally not changed without operator confirmation.</x:v>
      </x:c>
      <x:c r="R60" s="14" t="str">
        <x:v>README.md; SUBMISSION.md; THIRD_PARTY_NOTICES.md</x:v>
      </x:c>
      <x:c r="S60" s="14" t="str">
        <x:v>2f08435</x:v>
      </x:c>
      <x:c r="T60" s="14" t="str">
        <x:v>After operator confirmation, make the repository public and verify anonymous access plus GitHub license detection.</x:v>
      </x:c>
      <x:c r="U60" s="14" t="str">
        <x:v>NOT RUN — repository remains private; external publication gate is still open.</x:v>
      </x:c>
      <x:c r="V60" s="14" t="str">
        <x:v>Failed Test</x:v>
      </x:c>
      <x:c r="W60" s="14" t="str">
        <x:v>Yes — confirm publication after the final secret/IP review.</x:v>
      </x:c>
      <x:c r="X60" s="14" t="str">
        <x:v>Official source: https://webmcp.devpost.com/ and https://webmcp.devpost.com/rules. Live source snapshot and SHA-256: qa_evidence/feature-audit-2026-08-30/commands/devpost-live-source-verification.txt.</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2f08435</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2f08435</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FAIL — no public YouTube URL or timed sub-three-minute recording plan exists in the repository.</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FAIL — no video or demo-plan artifact was found. Evidence: qa_evidence/feature-audit-2026-08-30/commands/devpost-submission-baseline.txt.</x:v>
      </x:c>
      <x:c r="N63" s="14" t="str">
        <x:v>The required public demo video is absent.</x:v>
      </x:c>
      <x:c r="O63" s="14" t="str">
        <x:v>Critical</x:v>
      </x:c>
      <x:c r="P63" s="14" t="str">
        <x:v>Yes — create the local script now; recording/upload remains an operator action.</x:v>
      </x:c>
      <x:c r="Q63" s="14" t="str">
        <x:v>Added a timed 2:35 demo shot list, narration, rights safeguards, captions check, and required flow. The public YouTube artifact remains external.</x:v>
      </x:c>
      <x:c r="R63" s="14" t="str">
        <x:v>SUBMISSION.md; scripts/validate-submission.mjs</x:v>
      </x:c>
      <x:c r="S63" s="14" t="str">
        <x:v>2f08435</x:v>
      </x:c>
      <x:c r="T63" s="14" t="str">
        <x:v>Validate the timed plan; after operator publication, verify the public YouTube URL, duration, audio, captions, and deployed behavior.</x:v>
      </x:c>
      <x:c r="U63" s="14" t="str">
        <x:v>PARTIAL PASS — local 2:35 plan is validated; public YouTube URL remains pending. Evidence: qa_evidence/feature-audit-2026-08-30/commands/devpost-submission-package-final.txt.</x:v>
      </x:c>
      <x:c r="V63" s="14" t="str">
        <x:v>Needs Product Decision</x:v>
      </x:c>
      <x:c r="W63" s="14" t="str">
        <x:v>Yes — operator must record/approve and publish the final video.</x:v>
      </x:c>
      <x:c r="X63" s="14" t="str">
        <x:v>Official source: https://webmcp.devpost.com/ and https://webmcp.devpost.com/rules. Live source snapshot and SHA-256: qa_evidence/feature-audit-2026-08-30/commands/devpost-live-source-verification.txt.</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2f08435</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FAIL — authenticated Devpost dashboard shows no project; local field-by-field submission package is also absent.</x:v>
      </x:c>
      <x:c r="J65" s="14" t="str">
        <x:v>Needs Product Decision</x:v>
      </x:c>
      <x:c r="K65" s="14" t="str">
        <x:v>Authenticated browser + checklist audit</x:v>
      </x:c>
      <x:c r="L65" s="14" t="str">
        <x:v>Inspect the entrant dashboard for an existing project; compare local package with all required Devpost fields.</x:v>
      </x:c>
      <x:c r="M65" s="14" t="str">
        <x:v>FAIL — dashboard says “Start a Project to begin your submission.” Evidence: qa_evidence/feature-audit-2026-08-30/browser/devpost-dashboard-and-browser-state.json.</x:v>
      </x:c>
      <x:c r="N65" s="14" t="str">
        <x:v>No Devpost project has been created.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2f08435</x:v>
      </x:c>
      <x:c r="T65" s="14" t="str">
        <x:v>Run local package validation; after confirmation, create the Devpost project and compare every field with SUBMISSION.md.</x:v>
      </x:c>
      <x:c r="U65" s="14" t="str">
        <x:v>PARTIAL PASS — complete local field package exists; authenticated dashboard still has no project. Evidence: qa_evidence/feature-audit-2026-08-30/commands/devpost-submission-package-final.txt; qa_evidence/feature-audit-2026-08-30/browser/devpost-dashboard-and-browser-state.json.</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PARTIAL — MIT license and private-corpus exclusions are present, but entrant eligibility, ownership authorization, and a consolidated third-party notice remain unresolved.</x:v>
      </x:c>
      <x:c r="J66" s="14" t="str">
        <x:v>Needs Product Decision</x:v>
      </x:c>
      <x:c r="K66" s="14" t="str">
        <x:v>Compliance checklist</x:v>
      </x:c>
      <x:c r="L66" s="14" t="str">
        <x:v>Review rules, licenses, asset/source statements, dependency/service notices, and identify attestations that only the operator can confirm.</x:v>
      </x:c>
      <x:c r="M66" s="14" t="str">
        <x:v>PARTIAL — repository safeguards exist; operator attestations are unresolved. Evidence: qa_evidence/feature-audit-2026-08-30/commands/devpost-requirements-audit.txt; README.md; LICENSE.</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2f08435</x:v>
      </x:c>
      <x:c r="T66" s="14" t="str">
        <x:v>Run local validation; operator completes every attestation and final public-repository scan.</x:v>
      </x:c>
      <x:c r="U66" s="14" t="str">
        <x:v>PARTIAL PASS — notices and checklist are complete; entrant eligibility and rights assertions require operator confirmation.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2f08435</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2f08435</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2f08435</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2d84634</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2d84634</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2d84634</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2d84634</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2d84634</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9d39b92</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e74cc86</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fa341e7</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ddabacf</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7a91f15</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c6e7d4d</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fe40fe4</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825e1a6</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cfc9a70</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068a91f; dc43eb2</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b03a86c; 2ab3824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x:v>
      </x:c>
      <x:c r="Y87" s="14" t="str">
        <x:v>Screenshot showing the redesigned confirmation page still rendering as unstyled browser-default HTML.</x:v>
      </x:c>
    </x:row>
    <x:row r="88">
      <x:c r="A88" s="14" t="str">
        <x:v>F-032</x:v>
      </x:c>
      <x:c r="B88" s="14" t="str">
        <x:v>Cross-device reflection after confirmation</x:v>
      </x:c>
      <x:c r="C88" s="14" t="str">
        <x:v>Subscriber confirmation and reflection delivery</x:v>
      </x:c>
      <x:c r="D88" s="14" t="str">
        <x:v>api/internal/subscriber/http.go; api/internal/subscriber/service.go; api/internal/subscriber/mailer.go; web/confirmed.html</x:v>
      </x:c>
      <x:c r="E88" s="14" t="str">
        <x:v>POST /api/v1/subscribers/verify?token=…; /confirmed; second reflection email</x:v>
      </x:c>
      <x:c r="F88" s="14" t="str">
        <x:v>Quiz participant confirming from another computer</x:v>
      </x:c>
      <x:c r="G88" s="14" t="str">
        <x:v>As a participant confirming on a different computer, I want to see what I should remember and understand where my reflection is available, so that I am not left on a generic homepage or forced to repeat the quiz.</x:v>
      </x:c>
      <x:c r="H88" s="14"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8" s="14" t="str">
        <x:v>The explicit confirmation POST now renders the stored compact reflection, its bounded action, and a cross-device explanation immediately; the static completion fallback also explains the second email and browser-local choice boundary.</x:v>
      </x:c>
      <x:c r="J88" s="14" t="str">
        <x:v>Verified</x:v>
      </x:c>
      <x:c r="K88" s="14" t="str">
        <x:v>Cross-device confirmation UX + privacy + email delivery + browser rendering</x:v>
      </x:c>
      <x:c r="L88" s="14"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8" s="14" t="str">
        <x:v>FAIL — supplied screenshot shows the generic homepage after confirmation on another computer, with no visible result or cross-device explanation.</x:v>
      </x:c>
      <x:c r="N88" s="14" t="str">
        <x:v>The confirmation POST discards the stored compact result and redirects to a generic static completion route.</x:v>
      </x:c>
      <x:c r="O88" s="14" t="str">
        <x:v>High</x:v>
      </x:c>
      <x:c r="P88" s="14" t="str">
        <x:v>Yes</x:v>
      </x:c>
      <x:c r="Q88" s="14" t="str">
        <x:v>Yes — returned the confirmed record from the service, rendered only its canonical compact result after POST, explained the second email and non-synchronized choices, and upgraded the static completion fallback.</x:v>
      </x:c>
      <x:c r="R88" s="14"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8" s="14" t="str">
        <x:v>16bb41c; 75ace45</x:v>
      </x:c>
      <x:c r="T88" s="14" t="str">
        <x:v>Run service/handler/email tests, all Go tests/vet and web suites; render successful confirmation at desktop/mobile; verify production non-mutating routes and deploy only after local confirmation semantics pass.</x:v>
      </x:c>
      <x:c r="U88" s="14" t="str">
        <x:v>PASS — local successful POST returned HTTP 200 with canonical compact result, bounded action, second-email and cross-device explanation; no email address or individual-answer payload appeared. Desktop/mobile Chrome had one stylesheet, no console errors, and no overflow. All Go tests/vet, 28 web tests, site validation, 15-case WebMCP corpus, and Stripe inventory passed. Cloud Run revision mirrorloopai-subscriber-00015-lvd serves 100% latest-revision traffic; Firebase Hosting deployed; production health passed; /confirmed contains second-email, any-device, and non-synchronization guidance; invalid-token GET remains branded HTTP 400.</x:v>
      </x:c>
      <x:c r="V88" s="14" t="str">
        <x:v>Verified</x:v>
      </x:c>
      <x:c r="W88" s="14" t="str">
        <x:v>No</x:v>
      </x:c>
      <x:c r="X88" s="14" t="str">
        <x:v>Evidence: qa_evidence/post_confirmation_cross_device/. Production personalized POST was not invoked automatically because it requires a real subscriber token and would resend the participant email. The user can safely reopen the still-valid confirmation link and confirm again to receive the new on-page result and another reflection email.</x:v>
      </x:c>
      <x:c r="Y88" s="14" t="str">
        <x:v>Clicked and verified, then I do not see what to remember; it is on a different computer.</x:v>
      </x:c>
    </x:row>
  </x:sheetData>
  <x:dataValidations count="4">
    <x:dataValidation type="list" sqref="J2:J88">
      <x:formula1>"Not Reviewed,Story Drafted,Ready For Test,Failed Test,Fix In Progress,Fixed,Retest Failed,Verified,Blocked,Needs Product Decision"</x:formula1>
    </x:dataValidation>
    <x:dataValidation type="list" sqref="O2:O88">
      <x:formula1>"Critical,High,Medium,Low,None"</x:formula1>
    </x:dataValidation>
    <x:dataValidation type="list" sqref="K2:K88">
      <x:formula1>"Code Review,Manual UI,Automated Test,Smoke Test,Regression Test,Accessibility Review,Responsive Review,Integration Test"</x:formula1>
    </x:dataValidation>
    <x:dataValidation type="list" sqref="V2:V88">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COUNTA('Tracker'!$A$2:$A$88)</x:f>
        <x:v>87</x:v>
      </x:c>
      <x:c r="D4" s="21" t="str">
        <x:v>Critical</x:v>
      </x:c>
      <x:c r="E4" s="21" t="n">
        <x:f>COUNTIFS('Tracker'!$O$2:$O$88,"Critical",'Tracker'!$V$2:$V$88,"&lt;&gt;Verified")</x:f>
        <x:v>4</x:v>
      </x:c>
    </x:row>
    <x:row r="5" ht="22" customHeight="1">
      <x:c r="A5" s="21" t="str">
        <x:v>Current Verified</x:v>
      </x:c>
      <x:c r="B5" s="21" t="n">
        <x:f>COUNTIF('Tracker'!$J$2:$J$88,"Verified")</x:f>
        <x:v>58</x:v>
      </x:c>
      <x:c r="D5" s="21" t="str">
        <x:v>High</x:v>
      </x:c>
      <x:c r="E5" s="21" t="n">
        <x:f>COUNTIFS('Tracker'!$O$2:$O$88,"High",'Tracker'!$V$2:$V$88,"&lt;&gt;Verified")</x:f>
        <x:v>1</x:v>
      </x:c>
    </x:row>
    <x:row r="6" ht="22" customHeight="1">
      <x:c r="A6" s="21" t="str">
        <x:v>Failed Test</x:v>
      </x:c>
      <x:c r="B6" s="21" t="n">
        <x:f>COUNTIF('Tracker'!$J$2:$J$88,"Failed Test")</x:f>
        <x:v>1</x:v>
      </x:c>
      <x:c r="D6" s="21" t="str">
        <x:v>Medium</x:v>
      </x:c>
      <x:c r="E6" s="21" t="n">
        <x:f>COUNTIFS('Tracker'!$O$2:$O$88,"Medium",'Tracker'!$V$2:$V$88,"&lt;&gt;Verified")</x:f>
        <x:v>0</x:v>
      </x:c>
    </x:row>
    <x:row r="7" ht="22" customHeight="1">
      <x:c r="A7" s="21" t="str">
        <x:v>Fix In Progress</x:v>
      </x:c>
      <x:c r="B7" s="21" t="n">
        <x:f>COUNTIF('Tracker'!$J$2:$J$88,"Fix In Progress")</x:f>
        <x:v>0</x:v>
      </x:c>
      <x:c r="D7" s="21" t="str">
        <x:v>Low</x:v>
      </x:c>
      <x:c r="E7" s="21" t="n">
        <x:f>COUNTIFS('Tracker'!$O$2:$O$88,"Low",'Tracker'!$V$2:$V$88,"&lt;&gt;Verified")</x:f>
        <x:v>0</x:v>
      </x:c>
    </x:row>
    <x:row r="8" ht="22" customHeight="1">
      <x:c r="A8" s="21" t="str">
        <x:v>Fixed</x:v>
      </x:c>
      <x:c r="B8" s="21" t="n">
        <x:f>COUNTIF('Tracker'!$J$2:$J$88,"Fixed")</x:f>
        <x:v>24</x:v>
      </x:c>
      <x:c r="D8" s="21" t="str">
        <x:v>Needs Product Decision</x:v>
      </x:c>
      <x:c r="E8" s="21" t="n">
        <x:f>COUNTIF('Tracker'!$W$2:$W$88,"Yes")</x:f>
        <x:v>1</x:v>
      </x:c>
    </x:row>
    <x:row r="9" ht="22" customHeight="1">
      <x:c r="A9" s="21" t="str">
        <x:v>Final Verified</x:v>
      </x:c>
      <x:c r="B9" s="21" t="n">
        <x:f>COUNTIF('Tracker'!$V$2:$V$88,"Verified")</x:f>
        <x:v>82</x:v>
      </x:c>
      <x:c r="D9" s="21" t="str">
        <x:v>Rows With Commit Hash</x:v>
      </x:c>
      <x:c r="E9" s="21" t="n">
        <x:v>55</x:v>
      </x:c>
    </x:row>
    <x:row r="10" ht="22" customHeight="1">
      <x:c r="A10" s="21" t="str">
        <x:v>Blocked</x:v>
      </x:c>
      <x:c r="B10" s="21" t="n">
        <x:f>COUNTIF('Tracker'!$V$2:$V$88,"Blocked")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