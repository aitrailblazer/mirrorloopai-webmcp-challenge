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79df96561b4797" /></Relationships>
</file>

<file path=xl/workbook.xml><?xml version="1.0" encoding="utf-8"?>
<x:workbook xmlns:x="http://schemas.openxmlformats.org/spreadsheetml/2006/main">
  <x:sheets>
    <x:sheet xmlns:r="http://schemas.openxmlformats.org/officeDocument/2006/relationships" name="Tracker" sheetId="1" r:id="R7bdb481291274d86"/>
    <x:sheet xmlns:r="http://schemas.openxmlformats.org/officeDocument/2006/relationships" name="Dashboard" sheetId="2" r:id="Rd332df3131354d63"/>
    <x:sheet xmlns:r="http://schemas.openxmlformats.org/officeDocument/2006/relationships" name="Lists" sheetId="3" r:id="R9d7e97cff67a4368"/>
    <x:sheet xmlns:r="http://schemas.openxmlformats.org/officeDocument/2006/relationships" name="Instructions" sheetId="4" r:id="R8f6aecea640b441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12343B"/>
      <x:name val="Carlito"/>
    </x:font>
    <x:font>
      <x:b/>
      <x:sz val="16"/>
      <x:color rgb="FF12343B"/>
      <x:name val="Carlito"/>
    </x:font>
  </x:fonts>
  <x:fills count="2">
    <x:fill>
      <x:patternFill patternType="none"/>
    </x:fill>
    <x:fill>
      <x:patternFill patternType="gray125"/>
    </x:fill>
  </x:fills>
  <x:borders count="14">
    <x:border/>
    <x:border/>
    <x:border>
      <x:left style="thin">
        <x:color rgb="FFBFD6DB"/>
      </x:left>
      <x:right style="thin">
        <x:color rgb="FFBFD6DB"/>
      </x:right>
      <x:top style="thin">
        <x:color rgb="FFBFD6DB"/>
      </x:top>
      <x:bottom style="thin">
        <x:color rgb="FFBFD6DB"/>
      </x:bottom>
    </x:border>
    <x:border>
      <x:left style="thin">
        <x:color rgb="FFBFD6DB"/>
      </x:left>
      <x:right style="thin">
        <x:color rgb="FFBFD6DB"/>
      </x:right>
      <x:top style="thin">
        <x:color rgb="FFBFD6DB"/>
      </x:top>
      <x:bottom style="thin">
        <x:color rgb="FFBFD6DB"/>
      </x:bottom>
    </x:border>
    <x:border>
      <x:left style="thin">
        <x:color rgb="FFE8EFF2"/>
      </x:left>
      <x:right style="thin">
        <x:color rgb="FFE8EFF2"/>
      </x:right>
      <x:top style="thin">
        <x:color rgb="FFE8EFF2"/>
      </x:top>
      <x:bottom style="thin">
        <x:color rgb="FFE8EFF2"/>
      </x:bottom>
    </x:border>
    <x:border>
      <x:left style="thin">
        <x:color rgb="FFE8EFF2"/>
      </x:left>
      <x:right style="thin">
        <x:color rgb="FFE8EFF2"/>
      </x:right>
      <x:top style="thin">
        <x:color rgb="FFE8EFF2"/>
      </x:top>
      <x:bottom style="thin">
        <x:color rgb="FFE8EFF2"/>
      </x:bottom>
    </x:border>
    <x:border>
      <x:left style="medium">
        <x:color rgb="FF0B5D66"/>
      </x:left>
      <x:right style="medium">
        <x:color rgb="FF0B5D66"/>
      </x:right>
      <x:top style="medium">
        <x:color rgb="FF0B5D66"/>
      </x:top>
      <x:bottom style="medium">
        <x:color rgb="FF0B5D66"/>
      </x:bottom>
    </x:border>
    <x:border>
      <x:left style="medium">
        <x:color rgb="FF0B5D66"/>
      </x:left>
      <x:right style="medium">
        <x:color rgb="FF0B5D66"/>
      </x:right>
      <x:top style="medium">
        <x:color rgb="FF0B5D66"/>
      </x:top>
      <x:bottom style="medium">
        <x:color rgb="FF0B5D66"/>
      </x:bottom>
    </x:border>
    <x:border>
      <x:left style="thin">
        <x:color rgb="FFC9D8DE"/>
      </x:left>
      <x:right style="thin">
        <x:color rgb="FFC9D8DE"/>
      </x:right>
      <x:top style="thin">
        <x:color rgb="FFC9D8DE"/>
      </x:top>
      <x:bottom style="thin">
        <x:color rgb="FFC9D8DE"/>
      </x:bottom>
    </x:border>
    <x:border>
      <x:left style="thin">
        <x:color rgb="FFC9D8DE"/>
      </x:left>
      <x:right style="thin">
        <x:color rgb="FFC9D8DE"/>
      </x:right>
      <x:top style="thin">
        <x:color rgb="FFC9D8DE"/>
      </x:top>
      <x:bottom style="thin">
        <x:color rgb="FFC9D8DE"/>
      </x:bottom>
    </x:border>
    <x:border>
      <x:left style="thin">
        <x:color rgb="FFD6E2E6"/>
      </x:left>
      <x:right style="thin">
        <x:color rgb="FFD6E2E6"/>
      </x:right>
      <x:top style="thin">
        <x:color rgb="FFD6E2E6"/>
      </x:top>
      <x:bottom style="thin">
        <x:color rgb="FFD6E2E6"/>
      </x:bottom>
    </x:border>
    <x:border>
      <x:left style="thin">
        <x:color rgb="FFD6E2E6"/>
      </x:left>
      <x:right style="thin">
        <x:color rgb="FFD6E2E6"/>
      </x:right>
      <x:top style="thin">
        <x:color rgb="FFD6E2E6"/>
      </x:top>
      <x:bottom style="thin">
        <x:color rgb="FFD6E2E6"/>
      </x:bottom>
    </x:border>
    <x:border>
      <x:left style="thin">
        <x:color rgb="FFD7E2E6"/>
      </x:left>
      <x:right style="thin">
        <x:color rgb="FFD7E2E6"/>
      </x:right>
      <x:top style="thin">
        <x:color rgb="FFD7E2E6"/>
      </x:top>
      <x:bottom style="thin">
        <x:color rgb="FFD7E2E6"/>
      </x:bottom>
    </x:border>
    <x:border>
      <x:left style="thin">
        <x:color rgb="FFD7E2E6"/>
      </x:left>
      <x:right style="thin">
        <x:color rgb="FFD7E2E6"/>
      </x:right>
      <x:top style="thin">
        <x:color rgb="FFD7E2E6"/>
      </x:top>
      <x:bottom style="thin">
        <x:color rgb="FFD7E2E6"/>
      </x:bottom>
    </x:border>
  </x:borders>
  <x:cellStyleXfs count="1">
    <x:xf numFmtId="0" fontId="0" fillId="0" borderId="0"/>
  </x:cellStyleXfs>
  <x:cellXfs count="40">
    <x:xf numFmtId="0" fontId="0" fillId="0" borderId="0" xfId="0"/>
    <x:xf numFmtId="0" fontId="0" fillId="0" borderId="1" xfId="0" applyNumberFormat="1" applyFont="1" applyFill="1" applyBorder="1"/>
    <x:xf numFmtId="0" fontId="0" borderId="0" xfId="0" applyNumberFormat="1" applyFont="1" applyFill="0" applyBorder="1"/>
    <x:xf numFmtId="0" fontId="0" borderId="1" xfId="0" applyNumberFormat="1" applyFont="1" applyFill="0" applyBorder="1"/>
    <x:xf numFmtId="0" fontId="1" borderId="0" xfId="0" applyNumberFormat="1" applyFont="1" applyFill="0" applyBorder="1"/>
    <x:xf numFmtId="0" fontId="1" borderId="1" xfId="0" applyNumberFormat="1" applyFont="1" applyFill="0" applyBorder="1"/>
    <x:xf numFmtId="0" fontId="1" borderId="0" xfId="0" applyNumberFormat="1" applyFont="1" applyFill="0" applyBorder="1" applyAlignment="1">
      <x:alignment wrapText="1"/>
    </x:xf>
    <x:xf numFmtId="0" fontId="1" borderId="1" xfId="0" applyNumberFormat="1" applyFont="1" applyFill="0" applyBorder="1" applyAlignment="1">
      <x:alignment wrapText="1"/>
    </x:xf>
    <x:xf numFmtId="0" fontId="1" borderId="2" xfId="0" applyNumberFormat="1" applyFont="1" applyFill="0" applyBorder="1" applyAlignment="1">
      <x:alignment wrapText="1"/>
    </x:xf>
    <x:xf numFmtId="0" fontId="1" borderId="3" xfId="0" applyNumberFormat="1" applyFont="1" applyFill="0" applyBorder="1" applyAlignment="1">
      <x:alignment wrapText="1"/>
    </x:xf>
    <x:xf numFmtId="0" fontId="0" fillId="0" borderId="4" xfId="0" applyNumberFormat="1" applyFont="1" applyFill="1" applyBorder="1"/>
    <x:xf numFmtId="0" fontId="0" fillId="0" borderId="5"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2" fillId="0" borderId="0" xfId="0" applyNumberFormat="1" applyFont="1" applyFill="1" applyBorder="1"/>
    <x:xf numFmtId="0" fontId="2" fillId="0" borderId="1"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1" borderId="8" xfId="0" applyNumberFormat="1" applyFont="1" applyFill="0" applyBorder="1" applyAlignment="1">
      <x:alignment wrapText="1"/>
    </x:xf>
    <x:xf numFmtId="0" fontId="0" fillId="0" borderId="8" xfId="0" applyNumberFormat="1" applyFont="1" applyFill="1" applyBorder="1"/>
    <x:xf numFmtId="0" fontId="1" borderId="9" xfId="0" applyNumberFormat="1" applyFont="1" applyFill="0" applyBorder="1" applyAlignment="1">
      <x:alignment wrapText="1"/>
    </x:xf>
    <x:xf numFmtId="0" fontId="0" fillId="0" borderId="9" xfId="0" applyNumberFormat="1" applyFont="1" applyFill="1" applyBorder="1"/>
    <x:xf numFmtId="0" fontId="0" borderId="0" xfId="0" applyNumberFormat="1" applyFont="1" applyFill="0" applyBorder="1" applyAlignment="1">
      <x:alignment wrapText="1"/>
    </x:xf>
    <x:xf numFmtId="0" fontId="0" borderId="1" xfId="0" applyNumberFormat="1" applyFont="1" applyFill="0" applyBorder="1" applyAlignment="1">
      <x:alignment wrapText="1"/>
    </x:xf>
    <x:xf numFmtId="0" fontId="0" borderId="10" xfId="0" applyNumberFormat="1" applyFont="1" applyFill="0" applyBorder="1" applyAlignment="1">
      <x:alignment wrapText="1"/>
    </x:xf>
    <x:xf numFmtId="0" fontId="0" borderId="11" xfId="0" applyNumberFormat="1" applyFont="1" applyFill="0" applyBorder="1" applyAlignment="1">
      <x:alignment wrapText="1"/>
    </x:xf>
    <x:xf numFmtId="0" fontId="1" borderId="12" xfId="0" applyNumberFormat="1" applyFont="1" applyFill="0" applyBorder="1" applyAlignment="1">
      <x:alignment wrapText="1"/>
    </x:xf>
    <x:xf numFmtId="0" fontId="0" fillId="0" borderId="12" xfId="0" applyNumberFormat="1" applyFont="1" applyFill="1" applyBorder="1"/>
    <x:xf numFmtId="0" fontId="1" borderId="13" xfId="0" applyNumberFormat="1" applyFont="1" applyFill="0" applyBorder="1" applyAlignment="1">
      <x:alignment wrapText="1"/>
    </x:xf>
    <x:xf numFmtId="0" fontId="0" fillId="0" borderId="13" xfId="0" applyNumberFormat="1" applyFont="1" applyFill="1" applyBorder="1"/>
    <x:xf numFmtId="0" fontId="1" borderId="10" xfId="0" applyNumberFormat="1" applyFont="1" applyFill="0" applyBorder="1" applyAlignment="1">
      <x:alignment wrapText="1"/>
    </x:xf>
    <x:xf numFmtId="0" fontId="0" fillId="0" borderId="10" xfId="0" applyNumberFormat="1" applyFont="1" applyFill="1" applyBorder="1"/>
    <x:xf numFmtId="0" fontId="1" borderId="11" xfId="0" applyNumberFormat="1" applyFont="1" applyFill="0" applyBorder="1" applyAlignment="1">
      <x:alignment wrapText="1"/>
    </x:xf>
    <x:xf numFmtId="0" fontId="0" fillId="0" borderId="11"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0" xfId="0" applyNumberFormat="1" applyFont="1" applyFill="1" applyBorder="1" applyAlignment="1">
      <x:alignment horizontal="center"/>
    </x:xf>
    <x:xf numFmtId="0" fontId="0" fillId="0" borderId="1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b635e1aac34d80" /><Relationship Type="http://schemas.openxmlformats.org/officeDocument/2006/relationships/theme" Target="/xl/theme/theme1.xml" Id="R10e6f1891da74828" /><Relationship Type="http://schemas.openxmlformats.org/officeDocument/2006/relationships/sharedStrings" Target="/xl/sharedStrings.xml" Id="Rad94e77418d54a82" /><Relationship Type="http://schemas.openxmlformats.org/officeDocument/2006/relationships/worksheet" Target="/xl/worksheets/sheet1.xml" Id="R7bdb481291274d86" /><Relationship Type="http://schemas.openxmlformats.org/officeDocument/2006/relationships/worksheet" Target="/xl/worksheets/sheet2.xml" Id="Rd332df3131354d63" /><Relationship Type="http://schemas.openxmlformats.org/officeDocument/2006/relationships/worksheet" Target="/xl/worksheets/sheet3.xml" Id="R9d7e97cff67a4368" /><Relationship Type="http://schemas.openxmlformats.org/officeDocument/2006/relationships/worksheet" Target="/xl/worksheets/sheet4.xml" Id="R8f6aecea640b441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20" hidden="0" customWidth="1"/>
    <x:col min="4" max="4" width="28" hidden="0" customWidth="1"/>
    <x:col min="5" max="5" width="30" hidden="0" customWidth="1"/>
    <x:col min="6" max="6" width="16" hidden="0" customWidth="1"/>
    <x:col min="7" max="7" width="38" hidden="0" customWidth="1"/>
    <x:col min="8" max="8" width="38" hidden="0" customWidth="1"/>
    <x:col min="9" max="9" width="38" hidden="0" customWidth="1"/>
    <x:col min="10" max="10" width="18" hidden="0" customWidth="1"/>
    <x:col min="11" max="11" width="16" hidden="0" customWidth="1"/>
    <x:col min="12" max="12" width="32" hidden="0" customWidth="1"/>
    <x:col min="13" max="13" width="24" hidden="0" customWidth="1"/>
    <x:col min="14" max="14" width="28" hidden="0" customWidth="1"/>
    <x:col min="15" max="15" width="14" hidden="0" customWidth="1"/>
    <x:col min="16" max="16" width="16" hidden="0" customWidth="1"/>
    <x:col min="17" max="17" width="18" hidden="0" customWidth="1"/>
    <x:col min="18" max="18" width="24" hidden="0" customWidth="1"/>
    <x:col min="19" max="19" width="14" hidden="0" customWidth="1"/>
    <x:col min="20" max="20" width="28" hidden="0" customWidth="1"/>
    <x:col min="21" max="21" width="20" hidden="0" customWidth="1"/>
    <x:col min="22" max="22" width="18" hidden="0" customWidth="1"/>
    <x:col min="23" max="23" width="20" hidden="0" customWidth="1"/>
    <x:col min="24" max="24" width="24" hidden="0" customWidth="1"/>
    <x:col min="25" max="25" width="28" hidden="0" customWidth="1"/>
  </x:cols>
  <x:sheetData>
    <x:row r="1" ht="22" customHeight="1">
      <x:c r="A1" s="8" t="str">
        <x:v>Feature ID</x:v>
      </x:c>
      <x:c r="B1" s="8" t="str">
        <x:v>Feature Name</x:v>
      </x:c>
      <x:c r="C1" s="8" t="str">
        <x:v>Area / Module</x:v>
      </x:c>
      <x:c r="D1" s="8" t="str">
        <x:v>Source File(s)</x:v>
      </x:c>
      <x:c r="E1" s="8" t="str">
        <x:v>Route / Screen / Command / Entry Point</x:v>
      </x:c>
      <x:c r="F1" s="8" t="str">
        <x:v>User Type</x:v>
      </x:c>
      <x:c r="G1" s="8" t="str">
        <x:v>User Story</x:v>
      </x:c>
      <x:c r="H1" s="8" t="str">
        <x:v>Expected Behaviour</x:v>
      </x:c>
      <x:c r="I1" s="8" t="str">
        <x:v>Actual Behaviour</x:v>
      </x:c>
      <x:c r="J1" s="8" t="str">
        <x:v>Status</x:v>
      </x:c>
      <x:c r="K1" s="8" t="str">
        <x:v>Test Type</x:v>
      </x:c>
      <x:c r="L1" s="8" t="str">
        <x:v>Test Steps</x:v>
      </x:c>
      <x:c r="M1" s="8" t="str">
        <x:v>Test Result</x:v>
      </x:c>
      <x:c r="N1" s="8" t="str">
        <x:v>Error / Bug Found</x:v>
      </x:c>
      <x:c r="O1" s="8" t="str">
        <x:v>Severity</x:v>
      </x:c>
      <x:c r="P1" s="8" t="str">
        <x:v>Fix Required</x:v>
      </x:c>
      <x:c r="Q1" s="8" t="str">
        <x:v>Fix Implemented</x:v>
      </x:c>
      <x:c r="R1" s="8" t="str">
        <x:v>Files Changed</x:v>
      </x:c>
      <x:c r="S1" s="8" t="str">
        <x:v>Commit Hash</x:v>
      </x:c>
      <x:c r="T1" s="8" t="str">
        <x:v>Retest Steps</x:v>
      </x:c>
      <x:c r="U1" s="8" t="str">
        <x:v>Retest Result</x:v>
      </x:c>
      <x:c r="V1" s="8" t="str">
        <x:v>Final Status</x:v>
      </x:c>
      <x:c r="W1" s="8" t="str">
        <x:v>Product Decision Needed</x:v>
      </x:c>
      <x:c r="X1" s="8" t="str">
        <x:v>Notes</x:v>
      </x:c>
      <x:c r="Y1" s="8" t="str">
        <x:v>Original Prompt</x:v>
      </x:c>
    </x:row>
    <x:row r="2" ht="22" customHeight="1">
      <x:c r="A2" s="14" t="str">
        <x:v>F-001</x:v>
      </x:c>
      <x:c r="B2" s="14" t="str">
        <x:v>Landing page orientation</x:v>
      </x:c>
      <x:c r="C2" s="14" t="str">
        <x:v>Landing</x:v>
      </x:c>
      <x:c r="D2" s="14" t="str">
        <x:v>web/index.html; web/styles.css</x:v>
      </x:c>
      <x:c r="E2" s="14" t="str">
        <x:v>/</x:v>
      </x:c>
      <x:c r="F2" s="14" t="str">
        <x:v>First-time visitor</x:v>
      </x:c>
      <x:c r="G2" s="14" t="str">
        <x:v>As a first-time visitor, I want to understand MIRROR//LOOP immediately, so that I can decide whether to take the reflection.</x:v>
      </x:c>
      <x:c r="H2" s="14" t="str">
        <x:v>The hero explains a two-minute, non-diagnostic reflection in plain language and presents one primary start action.</x:v>
      </x:c>
      <x:c r="I2" s="14" t="str">
        <x:v>PASS — production landing page and accessibility tree clearly communicate the two-minute reflection and primary CTA. Revalidated by current automated, browser, production, and security gates.</x:v>
      </x:c>
      <x:c r="J2" s="14" t="str">
        <x:v>Verified</x:v>
      </x:c>
      <x:c r="K2" s="14" t="str">
        <x:v>Automated + browser</x:v>
      </x:c>
      <x:c r="L2" s="14" t="str">
        <x:v>Load / at desktop and mobile widths; inspect first viewport, heading, CTA, and copy.</x:v>
      </x:c>
      <x:c r="M2" s="14" t="str">
        <x:v>PASS — production landing page and accessibility tree clearly communicate the two-minute reflection and primary CTA.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2" s="14" t="str"/>
      <x:c r="O2" s="14" t="str">
        <x:v>None</x:v>
      </x:c>
      <x:c r="P2" s="14" t="str">
        <x:v>No</x:v>
      </x:c>
      <x:c r="Q2" s="14" t="str">
        <x:v>No change required.</x:v>
      </x:c>
      <x:c r="R2" s="14" t="str"/>
      <x:c r="S2" s="14" t="str"/>
      <x:c r="T2" s="14" t="str">
        <x:v>Repeat the documented test after any tracker-backed fix.</x:v>
      </x:c>
      <x:c r="U2" s="14" t="str">
        <x:v>PASS — production landing page and accessibility tree clearly communicate the two-minute reflection and primary CTA. Revalidated by current automated, browser, production, and security gates.</x:v>
      </x:c>
      <x:c r="V2" s="14" t="str">
        <x:v>Verified</x:v>
      </x:c>
      <x:c r="W2" s="14" t="str">
        <x:v>No</x:v>
      </x:c>
      <x:c r="X2" s="14" t="str">
        <x:v>Evidence: qa_evidence/commands/; qa_evidence/logs/production-browser-qa.txt; feature-specific production and test records retained without secrets. Prior evidence retained; included in 2026-08-29 full-site regression pass.</x:v>
      </x:c>
      <x:c r="Y2" s="14" t="str">
        <x:v>Finish the MIRROR//LOOP website; make the quiz immediately understandable; deploy the subscriber magnet on GCP using the authorized $150 credit.</x:v>
      </x:c>
    </x:row>
    <x:row r="3" ht="22" customHeight="1">
      <x:c r="A3" s="14" t="str">
        <x:v>F-002</x:v>
      </x:c>
      <x:c r="B3" s="14" t="str">
        <x:v>Shattered Compass attraction</x:v>
      </x:c>
      <x:c r="C3" s="14" t="str">
        <x:v>Landing</x:v>
      </x:c>
      <x:c r="D3" s="14" t="str">
        <x:v>web/index.html; web/images/shattered-compass-entry.webp</x:v>
      </x:c>
      <x:c r="E3" s="14" t="str">
        <x:v>/ hero</x:v>
      </x:c>
      <x:c r="F3" s="14" t="str">
        <x:v>Curious visitor</x:v>
      </x:c>
      <x:c r="G3" s="14" t="str">
        <x:v>As a curious visitor, I want to see a compelling entry image, so that I understand the visual world before starting.</x:v>
      </x:c>
      <x:c r="H3" s="14" t="str">
        <x:v>The Shattered Compass is visible, meaningfully captioned, optimized, and links to the quiz.</x:v>
      </x:c>
      <x:c r="I3" s="14" t="str">
        <x:v>PASS — production Card 012 image returns 200, has descriptive alternative text and caption, and links to the quiz. Revalidated by current automated, browser, production, and security gates.</x:v>
      </x:c>
      <x:c r="J3" s="14" t="str">
        <x:v>Verified</x:v>
      </x:c>
      <x:c r="K3" s="14" t="str">
        <x:v>Automated + browser</x:v>
      </x:c>
      <x:c r="L3" s="14" t="str">
        <x:v>Load /; verify Shattered Compass image loads, alternative text and caption explain its role, and activation reaches #quiz.</x:v>
      </x:c>
      <x:c r="M3" s="14" t="str">
        <x:v>PASS — production Card 012 image returns 200, has descriptive alternative text and caption, and links to the quiz.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3" s="14" t="str"/>
      <x:c r="O3" s="14" t="str">
        <x:v>None</x:v>
      </x:c>
      <x:c r="P3" s="14" t="str">
        <x:v>No</x:v>
      </x:c>
      <x:c r="Q3" s="14" t="str">
        <x:v>No change required.</x:v>
      </x:c>
      <x:c r="R3" s="14" t="str"/>
      <x:c r="S3" s="14" t="str"/>
      <x:c r="T3" s="14" t="str">
        <x:v>Repeat the documented test after any tracker-backed fix.</x:v>
      </x:c>
      <x:c r="U3" s="14" t="str">
        <x:v>PASS — production Card 012 image returns 200, has descriptive alternative text and caption, and links to the quiz. Revalidated by current automated, browser, production, and security gates.</x:v>
      </x:c>
      <x:c r="V3" s="14" t="str">
        <x:v>Verified</x:v>
      </x:c>
      <x:c r="W3" s="14" t="str">
        <x:v>No</x:v>
      </x:c>
      <x:c r="X3" s="14" t="str">
        <x:v>Evidence: qa_evidence/commands/; qa_evidence/logs/production-browser-qa.txt; feature-specific production and test records retained without secrets. Prior evidence retained; included in 2026-08-29 full-site regression pass.</x:v>
      </x:c>
      <x:c r="Y3" s="14" t="str">
        <x:v>Finish the MIRROR//LOOP website; make the quiz immediately understandable; deploy the subscriber magnet on GCP using the authorized $150 credit.</x:v>
      </x:c>
    </x:row>
    <x:row r="4" ht="22" customHeight="1">
      <x:c r="A4" s="14" t="str">
        <x:v>F-003</x:v>
      </x:c>
      <x:c r="B4" s="14" t="str">
        <x:v>How the reflection works</x:v>
      </x:c>
      <x:c r="C4" s="14" t="str">
        <x:v>Education</x:v>
      </x:c>
      <x:c r="D4" s="14" t="str">
        <x:v>web/index.html</x:v>
      </x:c>
      <x:c r="E4" s="14" t="str">
        <x:v>/#how-it-works</x:v>
      </x:c>
      <x:c r="F4" s="14" t="str">
        <x:v>Unfamiliar visitor</x:v>
      </x:c>
      <x:c r="G4" s="14" t="str">
        <x:v>As a visitor unfamiliar with the system, I want a simple explanation of the experience, so that I know what my result means.</x:v>
      </x:c>
      <x:c r="H4" s="14" t="str">
        <x:v>Three plain-language steps explain choosing, pattern counting, and reflective—not fixed—interpretation.</x:v>
      </x:c>
      <x:c r="I4" s="14" t="str">
        <x:v>PASS — production page exposes Choose, Notice, and Reflect in plain language. Revalidated by current automated, browser, production, and security gates.</x:v>
      </x:c>
      <x:c r="J4" s="14" t="str">
        <x:v>Verified</x:v>
      </x:c>
      <x:c r="K4" s="14" t="str">
        <x:v>Automated + browser</x:v>
      </x:c>
      <x:c r="L4" s="14" t="str">
        <x:v>Navigate to #how-it-works; verify three steps and non-label framing.</x:v>
      </x:c>
      <x:c r="M4" s="14" t="str">
        <x:v>PASS — production page exposes Choose, Notice, and Reflect in plain language.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4" s="14" t="str"/>
      <x:c r="O4" s="14" t="str">
        <x:v>None</x:v>
      </x:c>
      <x:c r="P4" s="14" t="str">
        <x:v>No</x:v>
      </x:c>
      <x:c r="Q4" s="14" t="str">
        <x:v>No change required.</x:v>
      </x:c>
      <x:c r="R4" s="14" t="str"/>
      <x:c r="S4" s="14" t="str"/>
      <x:c r="T4" s="14" t="str">
        <x:v>Repeat the documented test after any tracker-backed fix.</x:v>
      </x:c>
      <x:c r="U4" s="14" t="str">
        <x:v>PASS — production page exposes Choose, Notice, and Reflect in plain language. Revalidated by current automated, browser, production, and security gates.</x:v>
      </x:c>
      <x:c r="V4" s="14" t="str">
        <x:v>Verified</x:v>
      </x:c>
      <x:c r="W4" s="14" t="str">
        <x:v>No</x:v>
      </x:c>
      <x:c r="X4" s="14" t="str">
        <x:v>Evidence: qa_evidence/commands/; qa_evidence/logs/production-browser-qa.txt; feature-specific production and test records retained without secrets. Prior evidence retained; included in 2026-08-29 full-site regression pass.</x:v>
      </x:c>
      <x:c r="Y4" s="14" t="str">
        <x:v>Finish the MIRROR//LOOP website; make the quiz immediately understandable; deploy the subscriber magnet on GCP using the authorized $150 credit.</x:v>
      </x:c>
    </x:row>
    <x:row r="5" ht="22" customHeight="1">
      <x:c r="A5" s="14" t="str">
        <x:v>F-004</x:v>
      </x:c>
      <x:c r="B5" s="14" t="str">
        <x:v>Quiz entry</x:v>
      </x:c>
      <x:c r="C5" s="14" t="str">
        <x:v>Quiz</x:v>
      </x:c>
      <x:c r="D5" s="14" t="str">
        <x:v>web/index.html; web/app.js</x:v>
      </x:c>
      <x:c r="E5" s="14" t="str">
        <x:v>/#quiz</x:v>
      </x:c>
      <x:c r="F5" s="14" t="str">
        <x:v>Quiz participant</x:v>
      </x:c>
      <x:c r="G5" s="14" t="str">
        <x:v>As a participant, I want to begin the quiz confidently, so that I know its length and that there are no right answers.</x:v>
      </x:c>
      <x:c r="H5" s="14" t="str">
        <x:v>Start state states 12 questions, gives selection guidance, and opens question 1.</x:v>
      </x:c>
      <x:c r="I5" s="14" t="str">
        <x:v>PASS — browser activation opens Question 1 of 12 and moves focus to the question heading. Revalidated by current automated, browser, production, and security gates.</x:v>
      </x:c>
      <x:c r="J5" s="14" t="str">
        <x:v>Verified</x:v>
      </x:c>
      <x:c r="K5" s="14" t="str">
        <x:v>Automated + browser</x:v>
      </x:c>
      <x:c r="L5" s="14" t="str">
        <x:v>Activate start button; verify question 1, focus, and question count.</x:v>
      </x:c>
      <x:c r="M5" s="14" t="str">
        <x:v>PASS — browser activation opens Question 1 of 12 and moves focus to the question heading.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5" s="14" t="str"/>
      <x:c r="O5" s="14" t="str">
        <x:v>None</x:v>
      </x:c>
      <x:c r="P5" s="14" t="str">
        <x:v>No</x:v>
      </x:c>
      <x:c r="Q5" s="14" t="str">
        <x:v>No change required.</x:v>
      </x:c>
      <x:c r="R5" s="14" t="str"/>
      <x:c r="S5" s="14" t="str"/>
      <x:c r="T5" s="14" t="str">
        <x:v>Repeat the documented test after any tracker-backed fix.</x:v>
      </x:c>
      <x:c r="U5" s="14" t="str">
        <x:v>PASS — browser activation opens Question 1 of 12 and moves focus to the question heading. Revalidated by current automated, browser, production, and security gates.</x:v>
      </x:c>
      <x:c r="V5" s="14" t="str">
        <x:v>Verified</x:v>
      </x:c>
      <x:c r="W5" s="14" t="str">
        <x:v>No</x:v>
      </x:c>
      <x:c r="X5" s="14" t="str">
        <x:v>Evidence: qa_evidence/commands/; qa_evidence/logs/production-browser-qa.txt; feature-specific production and test records retained without secrets. Prior evidence retained; included in 2026-08-29 full-site regression pass.</x:v>
      </x:c>
      <x:c r="Y5" s="14" t="str">
        <x:v>Finish the MIRROR//LOOP website; make the quiz immediately understandable; deploy the subscriber magnet on GCP using the authorized $150 credit.</x:v>
      </x:c>
    </x:row>
    <x:row r="6" ht="22" customHeight="1">
      <x:c r="A6" s="14" t="str">
        <x:v>F-005</x:v>
      </x:c>
      <x:c r="B6" s="14" t="str">
        <x:v>Question answering and progress</x:v>
      </x:c>
      <x:c r="C6" s="14" t="str">
        <x:v>Quiz</x:v>
      </x:c>
      <x:c r="D6" s="14" t="str">
        <x:v>web/app.js; web/data/quiz.json; web/styles.css</x:v>
      </x:c>
      <x:c r="E6" s="14" t="str">
        <x:v>Quiz panel</x:v>
      </x:c>
      <x:c r="F6" s="14" t="str">
        <x:v>Quiz participant</x:v>
      </x:c>
      <x:c r="G6" s="14" t="str">
        <x:v>As a participant, I want to answer each question and see my progress, so that I can complete the reflection without confusion.</x:v>
      </x:c>
      <x:c r="H6" s="14" t="str">
        <x:v>Exactly 12 questions render with 12 distinct choices, clear progress, one selection per question, and a disabled Next action until selection.</x:v>
      </x:c>
      <x:c r="I6" s="14" t="str">
        <x:v>PASS — browser completed all 12 questions with correct progress and Next gating. Revalidated by current automated, browser, production, and security gates.</x:v>
      </x:c>
      <x:c r="J6" s="14" t="str">
        <x:v>Verified</x:v>
      </x:c>
      <x:c r="K6" s="14" t="str">
        <x:v>Automated + browser</x:v>
      </x:c>
      <x:c r="L6" s="14" t="str">
        <x:v>Complete all 12 questions; verify progress, selection, Next gating, and final action.</x:v>
      </x:c>
      <x:c r="M6" s="14" t="str">
        <x:v>PASS — browser completed all 12 questions with correct progress and Next gating.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6" s="14" t="str"/>
      <x:c r="O6" s="14" t="str">
        <x:v>None</x:v>
      </x:c>
      <x:c r="P6" s="14" t="str">
        <x:v>No</x:v>
      </x:c>
      <x:c r="Q6" s="14" t="str">
        <x:v>No change required.</x:v>
      </x:c>
      <x:c r="R6" s="14" t="str"/>
      <x:c r="S6" s="14" t="str"/>
      <x:c r="T6" s="14" t="str">
        <x:v>Repeat the documented test after any tracker-backed fix.</x:v>
      </x:c>
      <x:c r="U6" s="14" t="str">
        <x:v>PASS — browser completed all 12 questions with correct progress and Next gating. Revalidated by current automated, browser, production, and security gates.</x:v>
      </x:c>
      <x:c r="V6" s="14" t="str">
        <x:v>Verified</x:v>
      </x:c>
      <x:c r="W6" s="14" t="str">
        <x:v>No</x:v>
      </x:c>
      <x:c r="X6" s="14" t="str">
        <x:v>Evidence: qa_evidence/commands/; qa_evidence/logs/production-browser-qa.txt; feature-specific production and test records retained without secrets. Prior evidence retained; included in 2026-08-29 full-site regression pass.</x:v>
      </x:c>
      <x:c r="Y6" s="14" t="str">
        <x:v>Finish the MIRROR//LOOP website; make the quiz immediately understandable; deploy the subscriber magnet on GCP using the authorized $150 credit.</x:v>
      </x:c>
    </x:row>
    <x:row r="7" ht="22" customHeight="1">
      <x:c r="A7" s="14" t="str">
        <x:v>F-006</x:v>
      </x:c>
      <x:c r="B7" s="14" t="str">
        <x:v>Back navigation and answer revision</x:v>
      </x:c>
      <x:c r="C7" s="14" t="str">
        <x:v>Quiz</x:v>
      </x:c>
      <x:c r="D7" s="14" t="str">
        <x:v>web/app.js</x:v>
      </x:c>
      <x:c r="E7" s="14" t="str">
        <x:v>Quiz panel Back button</x:v>
      </x:c>
      <x:c r="F7" s="14" t="str">
        <x:v>Quiz participant</x:v>
      </x:c>
      <x:c r="G7" s="14" t="str">
        <x:v>As a participant, I want to return to earlier questions and change answers, so that my final reflection matches my intent.</x:v>
      </x:c>
      <x:c r="H7" s="14" t="str">
        <x:v>Back preserves prior answers, highlights the selected choice, and allows revision without losing later answers.</x:v>
      </x:c>
      <x:c r="I7" s="14" t="str">
        <x:v>PASS — browser back/edit test preserved option 0, accepted revision to option 2, and preserved the revised answer. Revalidated by current automated, browser, production, and security gates.</x:v>
      </x:c>
      <x:c r="J7" s="14" t="str">
        <x:v>Verified</x:v>
      </x:c>
      <x:c r="K7" s="14" t="str">
        <x:v>Automated + browser</x:v>
      </x:c>
      <x:c r="L7" s="14" t="str">
        <x:v>Answer two questions; go Back; verify selection persists; change it and continue.</x:v>
      </x:c>
      <x:c r="M7" s="14" t="str">
        <x:v>PASS — browser back/edit test preserved option 0, accepted revision to option 2, and preserved the revised answer.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7" s="14" t="str"/>
      <x:c r="O7" s="14" t="str">
        <x:v>None</x:v>
      </x:c>
      <x:c r="P7" s="14" t="str">
        <x:v>No</x:v>
      </x:c>
      <x:c r="Q7" s="14" t="str">
        <x:v>No change required.</x:v>
      </x:c>
      <x:c r="R7" s="14" t="str"/>
      <x:c r="S7" s="14" t="str"/>
      <x:c r="T7" s="14" t="str">
        <x:v>Repeat the documented test after any tracker-backed fix.</x:v>
      </x:c>
      <x:c r="U7" s="14" t="str">
        <x:v>PASS — browser back/edit test preserved option 0, accepted revision to option 2, and preserved the revised answer. Revalidated by current automated, browser, production, and security gates.</x:v>
      </x:c>
      <x:c r="V7" s="14" t="str">
        <x:v>Verified</x:v>
      </x:c>
      <x:c r="W7" s="14" t="str">
        <x:v>No</x:v>
      </x:c>
      <x:c r="X7" s="14" t="str">
        <x:v>Evidence: qa_evidence/commands/; qa_evidence/logs/production-browser-qa.txt; feature-specific production and test records retained without secrets. Prior evidence retained; included in 2026-08-29 full-site regression pass.</x:v>
      </x:c>
      <x:c r="Y7" s="14" t="str">
        <x:v>Finish the MIRROR//LOOP website; make the quiz immediately understandable; deploy the subscriber magnet on GCP using the authorized $150 credit.</x:v>
      </x:c>
    </x:row>
    <x:row r="8" ht="22" customHeight="1">
      <x:c r="A8" s="14" t="str">
        <x:v>F-007</x:v>
      </x:c>
      <x:c r="B8" s="14" t="str">
        <x:v>Deterministic result scoring</x:v>
      </x:c>
      <x:c r="C8" s="14" t="str">
        <x:v>Quiz engine</x:v>
      </x:c>
      <x:c r="D8" s="14" t="str">
        <x:v>web/lib/quiz-core.js; api/internal/subscriber/model.go</x:v>
      </x:c>
      <x:c r="E8" s="14" t="str">
        <x:v>Quiz completion</x:v>
      </x:c>
      <x:c r="F8" s="14" t="str">
        <x:v>Quiz participant</x:v>
      </x:c>
      <x:c r="G8" s="14" t="str">
        <x:v>As a participant, I want the same answers to produce the same result, so that the reflection is consistent.</x:v>
      </x:c>
      <x:c r="H8" s="14" t="str">
        <x:v>Twelve answers are counted deterministically; ties use stable ascending card codes; browser and Go implementations agree.</x:v>
      </x:c>
      <x:c r="I8" s="14" t="str">
        <x:v>PASS — browser and Go deterministic scoring tests pass with stable ascending-code tie-break. Revalidated by current automated, browser, production, and security gates.</x:v>
      </x:c>
      <x:c r="J8" s="14" t="str">
        <x:v>Verified</x:v>
      </x:c>
      <x:c r="K8" s="14" t="str">
        <x:v>Automated + browser</x:v>
      </x:c>
      <x:c r="L8" s="14" t="str">
        <x:v>Run JS and Go scoring tests with tied fixtures and compare dominant/secondary outputs.</x:v>
      </x:c>
      <x:c r="M8" s="14" t="str">
        <x:v>PASS — browser and Go deterministic scoring tests pass with stable ascending-code tie-break.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8" s="14" t="str"/>
      <x:c r="O8" s="14" t="str">
        <x:v>None</x:v>
      </x:c>
      <x:c r="P8" s="14" t="str">
        <x:v>No</x:v>
      </x:c>
      <x:c r="Q8" s="14" t="str">
        <x:v>No change required.</x:v>
      </x:c>
      <x:c r="R8" s="14" t="str"/>
      <x:c r="S8" s="14" t="str"/>
      <x:c r="T8" s="14" t="str">
        <x:v>Repeat the documented test after any tracker-backed fix.</x:v>
      </x:c>
      <x:c r="U8" s="14" t="str">
        <x:v>PASS — browser and Go deterministic scoring tests pass with stable ascending-code tie-break. Revalidated by current automated, browser, production, and security gates.</x:v>
      </x:c>
      <x:c r="V8" s="14" t="str">
        <x:v>Verified</x:v>
      </x:c>
      <x:c r="W8" s="14" t="str">
        <x:v>No</x:v>
      </x:c>
      <x:c r="X8" s="14" t="str">
        <x:v>Evidence: qa_evidence/commands/; qa_evidence/logs/production-browser-qa.txt; feature-specific production and test records retained without secrets. Prior evidence retained; included in 2026-08-29 full-site regression pass.</x:v>
      </x:c>
      <x:c r="Y8" s="14" t="str">
        <x:v>Finish the MIRROR//LOOP website; make the quiz immediately understandable; deploy the subscriber magnet on GCP using the authorized $150 credit.</x:v>
      </x:c>
    </x:row>
    <x:row r="9" ht="22" customHeight="1">
      <x:c r="A9" s="14" t="str">
        <x:v>F-008</x:v>
      </x:c>
      <x:c r="B9" s="14" t="str">
        <x:v>Plain-language result</x:v>
      </x:c>
      <x:c r="C9" s="14" t="str">
        <x:v>Results</x:v>
      </x:c>
      <x:c r="D9" s="14" t="str">
        <x:v>web/app.js; web/lib/quiz-core.js; web/data/quiz.json</x:v>
      </x:c>
      <x:c r="E9" s="14" t="str">
        <x:v>Result panel</x:v>
      </x:c>
      <x:c r="F9" s="14" t="str">
        <x:v>Quiz participant</x:v>
      </x:c>
      <x:c r="G9" s="14" t="str">
        <x:v>As a participant, I want my result explained without technical jargon, so that I can apply it to a real choice today.</x:v>
      </x:c>
      <x:c r="H9" s="14" t="str">
        <x:v>Result shows dominant pattern, supporting pattern, concise meaning, practical prompt, and explicit non-diagnostic boundary.</x:v>
      </x:c>
      <x:c r="I9" s="14" t="str">
        <x:v>PASS — production result renders dominant/supporting patterns, meaning, practical prompt, and non-diagnostic boundary. Revalidated by current automated, browser, production, and security gates.</x:v>
      </x:c>
      <x:c r="J9" s="14" t="str">
        <x:v>Verified</x:v>
      </x:c>
      <x:c r="K9" s="14" t="str">
        <x:v>Automated + browser</x:v>
      </x:c>
      <x:c r="L9" s="14" t="str">
        <x:v>Complete quiz; verify result elements, plain-language copy, prompt, and boundary.</x:v>
      </x:c>
      <x:c r="M9" s="14" t="str">
        <x:v>PASS — production result renders dominant/supporting patterns, meaning, practical prompt, and non-diagnostic boundary.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9" s="14" t="str"/>
      <x:c r="O9" s="14" t="str">
        <x:v>None</x:v>
      </x:c>
      <x:c r="P9" s="14" t="str">
        <x:v>No</x:v>
      </x:c>
      <x:c r="Q9" s="14" t="str">
        <x:v>No change required.</x:v>
      </x:c>
      <x:c r="R9" s="14" t="str"/>
      <x:c r="S9" s="14" t="str"/>
      <x:c r="T9" s="14" t="str">
        <x:v>Repeat the documented test after any tracker-backed fix.</x:v>
      </x:c>
      <x:c r="U9" s="14" t="str">
        <x:v>PASS — production result renders dominant/supporting patterns, meaning, practical prompt, and non-diagnostic boundary. Revalidated by current automated, browser, production, and security gates.</x:v>
      </x:c>
      <x:c r="V9" s="14" t="str">
        <x:v>Verified</x:v>
      </x:c>
      <x:c r="W9" s="14" t="str">
        <x:v>No</x:v>
      </x:c>
      <x:c r="X9" s="14" t="str">
        <x:v>Evidence: qa_evidence/commands/; qa_evidence/logs/production-browser-qa.txt; feature-specific production and test records retained without secrets. Prior evidence retained; included in 2026-08-29 full-site regression pass.</x:v>
      </x:c>
      <x:c r="Y9" s="14" t="str">
        <x:v>Finish the MIRROR//LOOP website; make the quiz immediately understandable; deploy the subscriber magnet on GCP using the authorized $150 credit.</x:v>
      </x:c>
    </x:row>
    <x:row r="10" ht="22" customHeight="1">
      <x:c r="A10" s="14" t="str">
        <x:v>F-009</x:v>
      </x:c>
      <x:c r="B10" s="14" t="str">
        <x:v>Retake reflection</x:v>
      </x:c>
      <x:c r="C10" s="14" t="str">
        <x:v>Results</x:v>
      </x:c>
      <x:c r="D10" s="14" t="str">
        <x:v>web/app.js</x:v>
      </x:c>
      <x:c r="E10" s="14" t="str">
        <x:v>Result panel Retake</x:v>
      </x:c>
      <x:c r="F10" s="14" t="str">
        <x:v>Returning participant</x:v>
      </x:c>
      <x:c r="G10" s="14" t="str">
        <x:v>As a participant, I want to retake the quiz, so that I can reflect on a different moment.</x:v>
      </x:c>
      <x:c r="H10" s="14" t="str">
        <x:v>Retake clears all answers and returns to question 1.</x:v>
      </x:c>
      <x:c r="I10" s="14" t="str">
        <x:v>PASS — production retake reset the flow to question 1 with cleared state. Revalidated by current automated, browser, production, and security gates.</x:v>
      </x:c>
      <x:c r="J10" s="14" t="str">
        <x:v>Verified</x:v>
      </x:c>
      <x:c r="K10" s="14" t="str">
        <x:v>Automated + browser</x:v>
      </x:c>
      <x:c r="L10" s="14" t="str">
        <x:v>Complete quiz; activate retake; verify question 1 and no selected answer.</x:v>
      </x:c>
      <x:c r="M10" s="14" t="str">
        <x:v>PASS — production retake reset the flow to question 1 with cleared state.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10" s="14" t="str"/>
      <x:c r="O10" s="14" t="str">
        <x:v>None</x:v>
      </x:c>
      <x:c r="P10" s="14" t="str">
        <x:v>No</x:v>
      </x:c>
      <x:c r="Q10" s="14" t="str">
        <x:v>No change required.</x:v>
      </x:c>
      <x:c r="R10" s="14" t="str"/>
      <x:c r="S10" s="14" t="str"/>
      <x:c r="T10" s="14" t="str">
        <x:v>Repeat the documented test after any tracker-backed fix.</x:v>
      </x:c>
      <x:c r="U10" s="14" t="str">
        <x:v>PASS — production retake reset the flow to question 1 with cleared state. Revalidated by current automated, browser, production, and security gates.</x:v>
      </x:c>
      <x:c r="V10" s="14" t="str">
        <x:v>Verified</x:v>
      </x:c>
      <x:c r="W10" s="14" t="str">
        <x:v>No</x:v>
      </x:c>
      <x:c r="X10" s="14" t="str">
        <x:v>Evidence: qa_evidence/commands/; qa_evidence/logs/production-browser-qa.txt; feature-specific production and test records retained without secrets. Prior evidence retained; included in 2026-08-29 full-site regression pass.</x:v>
      </x:c>
      <x:c r="Y10" s="14" t="str">
        <x:v>Finish the MIRROR//LOOP website; make the quiz immediately understandable; deploy the subscriber magnet on GCP using the authorized $150 credit.</x:v>
      </x:c>
    </x:row>
    <x:row r="11" ht="22" customHeight="1">
      <x:c r="A11" s="14" t="str">
        <x:v>F-010</x:v>
      </x:c>
      <x:c r="B11" s="14" t="str">
        <x:v>Optional email offer</x:v>
      </x:c>
      <x:c r="C11" s="14" t="str">
        <x:v>Subscription UI</x:v>
      </x:c>
      <x:c r="D11" s="14" t="str">
        <x:v>web/index.html; web/app.js; web/config.js</x:v>
      </x:c>
      <x:c r="E11" s="14" t="str">
        <x:v>Result email card</x:v>
      </x:c>
      <x:c r="F11" s="14" t="str">
        <x:v>Quiz participant</x:v>
      </x:c>
      <x:c r="G11" s="14" t="str">
        <x:v>As a participant, I want to see my result before choosing email, so that subscribing remains optional.</x:v>
      </x:c>
      <x:c r="H11" s="14" t="str">
        <x:v>Result is available without email; when production subscription is enabled, the email offer appears only after the result.</x:v>
      </x:c>
      <x:c r="I11" s="14" t="str">
        <x:v>PASS — production config enables the optional email card only after the result; result remains available without email. Revalidated by current automated, browser, production, and security gates.</x:v>
      </x:c>
      <x:c r="J11" s="14" t="str">
        <x:v>Verified</x:v>
      </x:c>
      <x:c r="K11" s="14" t="str">
        <x:v>Automated + browser</x:v>
      </x:c>
      <x:c r="L11" s="14" t="str">
        <x:v>Complete quiz with subscriberEnabled false and true; verify result precedes optional form.</x:v>
      </x:c>
      <x:c r="M11" s="14" t="str">
        <x:v>PASS — production config enables the optional email card only after the result; result remains available without email.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11" s="14" t="str"/>
      <x:c r="O11" s="14" t="str">
        <x:v>None</x:v>
      </x:c>
      <x:c r="P11" s="14" t="str">
        <x:v>No</x:v>
      </x:c>
      <x:c r="Q11" s="14" t="str">
        <x:v>Enabled subscriber UI after the production API became healthy.</x:v>
      </x:c>
      <x:c r="R11" s="14" t="str">
        <x:v>web/config.js</x:v>
      </x:c>
      <x:c r="S11" s="14" t="str">
        <x:v>41658abc55cbfe16536285d46e994b636160a5f5</x:v>
      </x:c>
      <x:c r="T11" s="14" t="str">
        <x:v>Repeat the documented test after any tracker-backed fix.</x:v>
      </x:c>
      <x:c r="U11" s="14" t="str">
        <x:v>PASS — production config enables the optional email card only after the result; result remains available without email. Revalidated by current automated, browser, production, and security gates.</x:v>
      </x:c>
      <x:c r="V11" s="14" t="str">
        <x:v>Verified</x:v>
      </x:c>
      <x:c r="W11" s="14" t="str">
        <x:v>No</x:v>
      </x:c>
      <x:c r="X11" s="14" t="str">
        <x:v>Evidence: qa_evidence/commands/; qa_evidence/logs/production-browser-qa.txt; feature-specific production and test records retained without secrets. Prior evidence retained; included in 2026-08-29 full-site regression pass.</x:v>
      </x:c>
      <x:c r="Y11" s="14" t="str">
        <x:v>Finish the MIRROR//LOOP website; make the quiz immediately understandable; deploy the subscriber magnet on GCP using the authorized $150 credit.</x:v>
      </x:c>
    </x:row>
    <x:row r="12" ht="22" customHeight="1">
      <x:c r="A12" s="14" t="str">
        <x:v>F-011</x:v>
      </x:c>
      <x:c r="B12" s="14" t="str">
        <x:v>Subscriber form validation and bot protection</x:v>
      </x:c>
      <x:c r="C12" s="14" t="str">
        <x:v>Subscription UI/API</x:v>
      </x:c>
      <x:c r="D12" s="14" t="str">
        <x:v>web/app.js; api/internal/subscriber/http.go; api/internal/subscriber/challenge.go</x:v>
      </x:c>
      <x:c r="E12" s="14" t="str">
        <x:v>POST /api/v1/subscribers</x:v>
      </x:c>
      <x:c r="F12" s="14" t="str">
        <x:v>Subscriber</x:v>
      </x:c>
      <x:c r="G12" s="14" t="str">
        <x:v>As a subscriber, I want a clear and secure signup form, so that I can request my result without accidental or automated abuse.</x:v>
      </x:c>
      <x:c r="H12" s="14" t="str">
        <x:v>Valid email, explicit consent, complete answers, hidden honeypot, Turnstile token, bounded JSON, CORS, and actionable errors are enforced.</x:v>
      </x:c>
      <x:c r="I12" s="14" t="str">
        <x:v>PASS — production rejects missing Turnstile tokens; temporary QA service passed Cloudflare official test token, input validation, CORS, and Resend handoff. Revalidated by current automated, browser, production, and security gates.</x:v>
      </x:c>
      <x:c r="J12" s="14" t="str">
        <x:v>Verified</x:v>
      </x:c>
      <x:c r="K12" s="14" t="str">
        <x:v>Automated + browser</x:v>
      </x:c>
      <x:c r="L12" s="14" t="str">
        <x:v>Run API tests; submit malformed/no-consent/no-challenge requests; inspect browser validation and Turnstile.</x:v>
      </x:c>
      <x:c r="M12" s="14" t="str">
        <x:v>PASS — production rejects missing Turnstile tokens; temporary QA service passed Cloudflare official test token, input validation, CORS, and Resend handoff.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12" s="14" t="str"/>
      <x:c r="O12" s="14" t="str">
        <x:v>None</x:v>
      </x:c>
      <x:c r="P12" s="14" t="str">
        <x:v>No</x:v>
      </x:c>
      <x:c r="Q12" s="14" t="str">
        <x:v>Deployed the Go API, provisioned secrets, trimmed secret values, corrected gcloud env parsing, and verified Cloudflare challenge enforcement.</x:v>
      </x:c>
      <x:c r="R12" s="14" t="str">
        <x:v>api/cmd/server/main.go; api/cmd/server/main_test.go; deploy/deploy-api.sh</x:v>
      </x:c>
      <x:c r="S12" s="14" t="str">
        <x:v>41658abc55cbfe16536285d46e994b636160a5f5</x:v>
      </x:c>
      <x:c r="T12" s="14" t="str">
        <x:v>Repeat the documented test after any tracker-backed fix.</x:v>
      </x:c>
      <x:c r="U12" s="14" t="str">
        <x:v>PASS — production rejects missing Turnstile tokens; temporary QA service passed Cloudflare official test token, input validation, CORS, and Resend handoff. Revalidated by current automated, browser, production, and security gates.</x:v>
      </x:c>
      <x:c r="V12" s="14" t="str">
        <x:v>Verified</x:v>
      </x:c>
      <x:c r="W12" s="14" t="str">
        <x:v>No</x:v>
      </x:c>
      <x:c r="X12" s="14" t="str">
        <x:v>Evidence: qa_evidence/commands/; qa_evidence/logs/production-browser-qa.txt; feature-specific production and test records retained without secrets. Prior evidence retained; included in 2026-08-29 full-site regression pass.</x:v>
      </x:c>
      <x:c r="Y12" s="14" t="str">
        <x:v>Finish the MIRROR//LOOP website; make the quiz immediately understandable; deploy the subscriber magnet on GCP using the authorized $150 credit.</x:v>
      </x:c>
    </x:row>
    <x:row r="13" ht="22" customHeight="1">
      <x:c r="A13" s="14" t="str">
        <x:v>F-012</x:v>
      </x:c>
      <x:c r="B13" s="14" t="str">
        <x:v>Double opt-in confirmation</x:v>
      </x:c>
      <x:c r="C13" s="14" t="str">
        <x:v>Subscriber API</x:v>
      </x:c>
      <x:c r="D13" s="14" t="str">
        <x:v>api/internal/subscriber/service.go; api/internal/subscriber/token.go; api/internal/subscriber/mailer.go</x:v>
      </x:c>
      <x:c r="E13" s="14" t="str">
        <x:v>GET /api/v1/subscribers/verify</x:v>
      </x:c>
      <x:c r="F13" s="14" t="str">
        <x:v>Subscriber</x:v>
      </x:c>
      <x:c r="G13" s="14" t="str">
        <x:v>As a subscriber, I want to confirm ownership of my email, so that updates are sent only with my permission.</x:v>
      </x:c>
      <x:c r="H13" s="14" t="str">
        <x:v>Signup stores pending status and sends a 48-hour signed confirmation link; confirmation activates the record and redirects to /confirmed.</x:v>
      </x:c>
      <x:c r="I13" s="14" t="str">
        <x:v>PASS — production-safe GET now presents an explicit confirmation form without state change; POST activates and redirects. QA remained pending after scanner wait and GET, then became active only after POST. Revalidated by current automated, browser, production, and security gates.</x:v>
      </x:c>
      <x:c r="J13" s="14" t="str">
        <x:v>Verified</x:v>
      </x:c>
      <x:c r="K13" s="14" t="str">
        <x:v>Automated + integration + production</x:v>
      </x:c>
      <x:c r="L13" s="14" t="str">
        <x:v>Run service tests; production-submit valid form; follow confirmation link; verify redirect and active record.</x:v>
      </x:c>
      <x:c r="M13" s="14" t="str">
        <x:v>PASS — production-safe GET now presents an explicit confirmation form without state change; POST activates and redirects. QA remained pending after scanner wait and GET, then became active only after POST.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13" s="14" t="str"/>
      <x:c r="O13" s="14" t="str">
        <x:v>None</x:v>
      </x:c>
      <x:c r="P13" s="14" t="str">
        <x:v>No</x:v>
      </x:c>
      <x:c r="Q13" s="14" t="str">
        <x:v>Changed confirmation from state-changing GET to scanner-safe GET form plus explicit POST; added regression coverage.</x:v>
      </x:c>
      <x:c r="R13" s="14" t="str">
        <x:v>api/internal/subscriber/http.go; api/internal/subscriber/http_test.go; api/internal/subscriber/service.go</x:v>
      </x:c>
      <x:c r="S13" s="14" t="str">
        <x:v>41658abc55cbfe16536285d46e994b636160a5f5</x:v>
      </x:c>
      <x:c r="T13" s="14" t="str">
        <x:v>Repeat the documented test after any tracker-backed fix.</x:v>
      </x:c>
      <x:c r="U13" s="14" t="str">
        <x:v>PASS — production-safe GET now presents an explicit confirmation form without state change; POST activates and redirects. QA remained pending after scanner wait and GET, then became active only after POST. Revalidated by current automated, browser, production, and security gates.</x:v>
      </x:c>
      <x:c r="V13" s="14" t="str">
        <x:v>Verified</x:v>
      </x:c>
      <x:c r="W13" s="14" t="str">
        <x:v>No</x:v>
      </x:c>
      <x:c r="X13" s="14" t="str">
        <x:v>Evidence: qa_evidence/commands/; qa_evidence/logs/production-browser-qa.txt; feature-specific production and test records retained without secrets. Prior evidence retained; included in 2026-08-29 full-site regression pass.</x:v>
      </x:c>
      <x:c r="Y13" s="14" t="str">
        <x:v>Finish the MIRROR//LOOP website; make the quiz immediately understandable; deploy the subscriber magnet on GCP using the authorized $150 credit.</x:v>
      </x:c>
    </x:row>
    <x:row r="14" ht="22" customHeight="1">
      <x:c r="A14" s="14" t="str">
        <x:v>F-013</x:v>
      </x:c>
      <x:c r="B14" s="14" t="str">
        <x:v>Reflection delivery and unsubscribe</x:v>
      </x:c>
      <x:c r="C14" s="14" t="str">
        <x:v>Subscriber API</x:v>
      </x:c>
      <x:c r="D14" s="14" t="str">
        <x:v>api/internal/subscriber/service.go; api/internal/subscriber/mailer.go; api/internal/subscriber/http.go</x:v>
      </x:c>
      <x:c r="E14" s="14" t="str">
        <x:v>Confirmation email; reflection email; unsubscribe link</x:v>
      </x:c>
      <x:c r="F14" s="14" t="str">
        <x:v>Confirmed subscriber</x:v>
      </x:c>
      <x:c r="G14" s="14" t="str">
        <x:v>As a confirmed subscriber, I want my reflection and a working unsubscribe link, so that I receive the promised value and retain control.</x:v>
      </x:c>
      <x:c r="H14" s="14" t="str">
        <x:v>Confirmation sends the dominant/supporting result; every reflection includes a signed unsubscribe link that suppresses future updates.</x:v>
      </x:c>
      <x:c r="I14" s="14" t="str">
        <x:v>PASS — QA confirmation and reflection were accepted by Resend; GET unsubscribe preserved active state and POST changed it to unsubscribed. Revalidated by current automated, browser, production, and security gates.</x:v>
      </x:c>
      <x:c r="J14" s="14" t="str">
        <x:v>Verified</x:v>
      </x:c>
      <x:c r="K14" s="14" t="str">
        <x:v>Automated + integration + production</x:v>
      </x:c>
      <x:c r="L14" s="14" t="str">
        <x:v>After confirmation, verify reflection email content and activate unsubscribe link; verify suppression state.</x:v>
      </x:c>
      <x:c r="M14" s="14" t="str">
        <x:v>PASS — QA confirmation and reflection were accepted by Resend; GET unsubscribe preserved active state and POST changed it to unsubscribed.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14" s="14" t="str"/>
      <x:c r="O14" s="14" t="str">
        <x:v>None</x:v>
      </x:c>
      <x:c r="P14" s="14" t="str">
        <x:v>No</x:v>
      </x:c>
      <x:c r="Q14" s="14" t="str">
        <x:v>Added monitored Reply-To, fixed newline-contaminated provider secrets, made unsubscribe GET scanner-safe and POST state-changing, and added tests.</x:v>
      </x:c>
      <x:c r="R14" s="14" t="str">
        <x:v>api/cmd/server/main.go; api/internal/subscriber/mailer.go; api/internal/subscriber/mailer_test.go; api/internal/subscriber/http.go; api/internal/subscriber/http_test.go</x:v>
      </x:c>
      <x:c r="S14" s="14" t="str">
        <x:v>41658abc55cbfe16536285d46e994b636160a5f5</x:v>
      </x:c>
      <x:c r="T14" s="14" t="str">
        <x:v>Repeat the documented test after any tracker-backed fix.</x:v>
      </x:c>
      <x:c r="U14" s="14" t="str">
        <x:v>PASS — QA confirmation and reflection were accepted by Resend; GET unsubscribe preserved active state and POST changed it to unsubscribed. Revalidated by current automated, browser, production, and security gates.</x:v>
      </x:c>
      <x:c r="V14" s="14" t="str">
        <x:v>Verified</x:v>
      </x:c>
      <x:c r="W14" s="14" t="str">
        <x:v>No</x:v>
      </x:c>
      <x:c r="X14" s="14" t="str">
        <x:v>Evidence: qa_evidence/commands/; qa_evidence/logs/production-browser-qa.txt; feature-specific production and test records retained without secrets. Prior evidence retained; included in 2026-08-29 full-site regression pass.</x:v>
      </x:c>
      <x:c r="Y14" s="14" t="str">
        <x:v>Finish the MIRROR//LOOP website; make the quiz immediately understandable; deploy the subscriber magnet on GCP using the authorized $150 credit.</x:v>
      </x:c>
    </x:row>
    <x:row r="15" ht="22" customHeight="1">
      <x:c r="A15" s="14" t="str">
        <x:v>F-014</x:v>
      </x:c>
      <x:c r="B15" s="14" t="str">
        <x:v>Privacy notice and contact</x:v>
      </x:c>
      <x:c r="C15" s="14" t="str">
        <x:v>Trust</x:v>
      </x:c>
      <x:c r="D15" s="14" t="str">
        <x:v>web/privacy.html; web/index.html</x:v>
      </x:c>
      <x:c r="E15" s="14" t="str">
        <x:v>/privacy; footer Contact</x:v>
      </x:c>
      <x:c r="F15" s="14" t="str">
        <x:v>Privacy-conscious visitor</x:v>
      </x:c>
      <x:c r="G15" s="14" t="str">
        <x:v>As a visitor, I want to know what is stored and how to request deletion, so that I can make an informed choice.</x:v>
      </x:c>
      <x:c r="H15" s="14" t="str">
        <x:v>Privacy notice accurately states stored fields, individual-answer exclusion, providers, retention, and offers a working monitored contact address.</x:v>
      </x:c>
      <x:c r="I15" s="14" t="str">
        <x:v>PASS — privacy claims match stored schema; monitored Google Workspace contact is published and configured as Reply-To. Revalidated by current automated, browser, production, and security gates.</x:v>
      </x:c>
      <x:c r="J15" s="14" t="str">
        <x:v>Verified</x:v>
      </x:c>
      <x:c r="K15" s="14" t="str">
        <x:v>Automated + browser</x:v>
      </x:c>
      <x:c r="L15" s="14" t="str">
        <x:v>Open /privacy and footer contact; verify claims against storage and confirm address is deliverable/monitored.</x:v>
      </x:c>
      <x:c r="M15" s="14" t="str">
        <x:v>PASS — privacy claims match stored schema; monitored Google Workspace contact is published and configured as Reply-To.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15" s="14" t="str"/>
      <x:c r="O15" s="14" t="str">
        <x:v>None</x:v>
      </x:c>
      <x:c r="P15" s="14" t="str">
        <x:v>No</x:v>
      </x:c>
      <x:c r="Q15" s="14" t="str">
        <x:v>Replaced the nonexistent privacy mailbox with the monitored Google Workspace address.</x:v>
      </x:c>
      <x:c r="R15" s="14" t="str">
        <x:v>web/index.html; web/privacy.html; api/internal/subscriber/mailer.go</x:v>
      </x:c>
      <x:c r="S15" s="14" t="str">
        <x:v>41658abc55cbfe16536285d46e994b636160a5f5</x:v>
      </x:c>
      <x:c r="T15" s="14" t="str">
        <x:v>Repeat the documented test after any tracker-backed fix.</x:v>
      </x:c>
      <x:c r="U15" s="14" t="str">
        <x:v>PASS — privacy claims match stored schema; monitored Google Workspace contact is published and configured as Reply-To. Revalidated by current automated, browser, production, and security gates.</x:v>
      </x:c>
      <x:c r="V15" s="14" t="str">
        <x:v>Verified</x:v>
      </x:c>
      <x:c r="W15" s="14" t="str">
        <x:v>No</x:v>
      </x:c>
      <x:c r="X15" s="14" t="str">
        <x:v>Evidence: qa_evidence/commands/; qa_evidence/logs/production-browser-qa.txt; feature-specific production and test records retained without secrets. Prior evidence retained; included in 2026-08-29 full-site regression pass.</x:v>
      </x:c>
      <x:c r="Y15" s="14" t="str">
        <x:v>Finish the MIRROR//LOOP website; make the quiz immediately understandable; deploy the subscriber magnet on GCP using the authorized $150 credit.</x:v>
      </x:c>
    </x:row>
    <x:row r="16" ht="22" customHeight="1">
      <x:c r="A16" s="14" t="str">
        <x:v>F-015</x:v>
      </x:c>
      <x:c r="B16" s="14" t="str">
        <x:v>Confirmation landing page</x:v>
      </x:c>
      <x:c r="C16" s="14" t="str">
        <x:v>Subscription UI</x:v>
      </x:c>
      <x:c r="D16" s="14" t="str">
        <x:v>web/confirmed.html</x:v>
      </x:c>
      <x:c r="E16" s="14" t="str">
        <x:v>/confirmed</x:v>
      </x:c>
      <x:c r="F16" s="14" t="str">
        <x:v>New subscriber</x:v>
      </x:c>
      <x:c r="G16" s="14" t="str">
        <x:v>As a newly confirmed subscriber, I want clear confirmation, so that I know the process succeeded and what happens next.</x:v>
      </x:c>
      <x:c r="H16" s="14" t="str">
        <x:v>Page confirms success, states the reflection is coming, and offers a route home.</x:v>
      </x:c>
      <x:c r="I16" s="14" t="str">
        <x:v>PASS — /confirmed returns 200 with success message, expected next step, home link, and noindex. Revalidated by current automated, browser, production, and security gates.</x:v>
      </x:c>
      <x:c r="J16" s="14" t="str">
        <x:v>Verified</x:v>
      </x:c>
      <x:c r="K16" s="14" t="str">
        <x:v>Automated + browser</x:v>
      </x:c>
      <x:c r="L16" s="14" t="str">
        <x:v>Open /confirmed; inspect copy, navigation, mobile layout, and noindex.</x:v>
      </x:c>
      <x:c r="M16" s="14" t="str">
        <x:v>PASS — /confirmed returns 200 with success message, expected next step, home link, and noindex.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16" s="14" t="str"/>
      <x:c r="O16" s="14" t="str">
        <x:v>None</x:v>
      </x:c>
      <x:c r="P16" s="14" t="str">
        <x:v>No</x:v>
      </x:c>
      <x:c r="Q16" s="14" t="str">
        <x:v>No change required.</x:v>
      </x:c>
      <x:c r="R16" s="14" t="str"/>
      <x:c r="S16" s="14" t="str"/>
      <x:c r="T16" s="14" t="str">
        <x:v>Repeat the documented test after any tracker-backed fix.</x:v>
      </x:c>
      <x:c r="U16" s="14" t="str">
        <x:v>PASS — /confirmed returns 200 with success message, expected next step, home link, and noindex. Revalidated by current automated, browser, production, and security gates.</x:v>
      </x:c>
      <x:c r="V16" s="14" t="str">
        <x:v>Verified</x:v>
      </x:c>
      <x:c r="W16" s="14" t="str">
        <x:v>No</x:v>
      </x:c>
      <x:c r="X16" s="14" t="str">
        <x:v>Evidence: qa_evidence/commands/; qa_evidence/logs/production-browser-qa.txt; feature-specific production and test records retained without secrets. Prior evidence retained; included in 2026-08-29 full-site regression pass.</x:v>
      </x:c>
      <x:c r="Y16" s="14" t="str">
        <x:v>Finish the MIRROR//LOOP website; make the quiz immediately understandable; deploy the subscriber magnet on GCP using the authorized $150 credit.</x:v>
      </x:c>
    </x:row>
    <x:row r="17" ht="22" customHeight="1">
      <x:c r="A17" s="14" t="str">
        <x:v>F-016</x:v>
      </x:c>
      <x:c r="B17" s="14" t="str">
        <x:v>Responsive and accessible use</x:v>
      </x:c>
      <x:c r="C17" s="14" t="str">
        <x:v>Cross-cutting UX</x:v>
      </x:c>
      <x:c r="D17" s="14" t="str">
        <x:v>web/index.html; web/styles.css; web/app.js</x:v>
      </x:c>
      <x:c r="E17" s="14" t="str">
        <x:v>All public screens</x:v>
      </x:c>
      <x:c r="F17" s="14" t="str">
        <x:v>Mobile and assistive-technology user</x:v>
      </x:c>
      <x:c r="G17" s="14" t="str">
        <x:v>As a mobile or assistive-technology user, I want readable, keyboard-operable pages, so that I can complete the experience independently.</x:v>
      </x:c>
      <x:c r="H17" s="14" t="str">
        <x:v>No horizontal overflow at common mobile sizes; semantic headings, focus movement, labels, progress semantics, contrast, and keyboard interactions work.</x:v>
      </x:c>
      <x:c r="I17" s="14" t="str">
        <x:v>PASS — 390px production browser has zero horizontal overflow; final Lighthouse scores are 100 for accessibility, best practices, SEO, and agentic browsing. Revalidated by current automated, browser, production, and security gates.</x:v>
      </x:c>
      <x:c r="J17" s="14" t="str">
        <x:v>Verified</x:v>
      </x:c>
      <x:c r="K17" s="14" t="str">
        <x:v>Automated + browser</x:v>
      </x:c>
      <x:c r="L17" s="14" t="str">
        <x:v>Keyboard-test quiz; inspect 390px and desktop layouts; run browser accessibility audit and overflow check.</x:v>
      </x:c>
      <x:c r="M17" s="14" t="str">
        <x:v>PASS — 390px production browser has zero horizontal overflow; final Lighthouse scores are 100 for accessibility, best practices, SEO, and agentic browsing.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17" s="14" t="str"/>
      <x:c r="O17" s="14" t="str">
        <x:v>None</x:v>
      </x:c>
      <x:c r="P17" s="14" t="str">
        <x:v>No</x:v>
      </x:c>
      <x:c r="Q17" s="14" t="str">
        <x:v>Corrected low-contrast form-note text on the light email card.</x:v>
      </x:c>
      <x:c r="R17" s="14" t="str">
        <x:v>web/styles.css</x:v>
      </x:c>
      <x:c r="S17" s="14" t="str">
        <x:v>41658abc55cbfe16536285d46e994b636160a5f5</x:v>
      </x:c>
      <x:c r="T17" s="14" t="str">
        <x:v>Repeat the documented test after any tracker-backed fix.</x:v>
      </x:c>
      <x:c r="U17" s="14" t="str">
        <x:v>PASS — 390px production browser has zero horizontal overflow; final Lighthouse scores are 100 for accessibility, best practices, SEO, and agentic browsing. Revalidated by current automated, browser, production, and security gates.</x:v>
      </x:c>
      <x:c r="V17" s="14" t="str">
        <x:v>Verified</x:v>
      </x:c>
      <x:c r="W17" s="14" t="str">
        <x:v>No</x:v>
      </x:c>
      <x:c r="X17" s="14" t="str">
        <x:v>Evidence: qa_evidence/commands/; qa_evidence/logs/production-browser-qa.txt; feature-specific production and test records retained without secrets. Prior evidence retained; included in 2026-08-29 full-site regression pass.</x:v>
      </x:c>
      <x:c r="Y17" s="14" t="str">
        <x:v>Finish the MIRROR//LOOP website; make the quiz immediately understandable; deploy the subscriber magnet on GCP using the authorized $150 credit.</x:v>
      </x:c>
    </x:row>
    <x:row r="18" ht="22" customHeight="1">
      <x:c r="A18" s="14" t="str">
        <x:v>F-017</x:v>
      </x:c>
      <x:c r="B18" s="14" t="str">
        <x:v>Failure and recovery states</x:v>
      </x:c>
      <x:c r="C18" s="14" t="str">
        <x:v>Reliability</x:v>
      </x:c>
      <x:c r="D18" s="14" t="str">
        <x:v>web/app.js; api/internal/subscriber/http.go</x:v>
      </x:c>
      <x:c r="E18" s="14" t="str">
        <x:v>Quiz load; subscribe; invalid links</x:v>
      </x:c>
      <x:c r="F18" s="14" t="str">
        <x:v>Visitor or subscriber</x:v>
      </x:c>
      <x:c r="G18" s="14" t="str">
        <x:v>As a user encountering a failure, I want a clear message and a retry path, so that I am not stranded.</x:v>
      </x:c>
      <x:c r="H18" s="14" t="str">
        <x:v>Quiz-load, invalid form, failed API, expired confirmation, and invalid unsubscribe states provide safe human-readable feedback without exposing internals.</x:v>
      </x:c>
      <x:c r="I18" s="14" t="str">
        <x:v>PASS — invalid confirmation returns safe 400; form/API messages are bounded; Turnstile expiration/failure callbacks now provide recovery instructions. Revalidated by current automated, browser, production, and security gates.</x:v>
      </x:c>
      <x:c r="J18" s="14" t="str">
        <x:v>Verified</x:v>
      </x:c>
      <x:c r="K18" s="14" t="str">
        <x:v>Automated + browser</x:v>
      </x:c>
      <x:c r="L18" s="14" t="str">
        <x:v>Simulate quiz fetch failure and API errors; open invalid verify/unsubscribe links; inspect recovery copy.</x:v>
      </x:c>
      <x:c r="M18" s="14" t="str">
        <x:v>PASS — invalid confirmation returns safe 400; form/API messages are bounded; Turnstile expiration/failure callbacks now provide recovery instructions.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18" s="14" t="str"/>
      <x:c r="O18" s="14" t="str">
        <x:v>None</x:v>
      </x:c>
      <x:c r="P18" s="14" t="str">
        <x:v>No</x:v>
      </x:c>
      <x:c r="Q18" s="14" t="str">
        <x:v>Added human-readable Turnstile expired/error recovery messages and a routed API health endpoint.</x:v>
      </x:c>
      <x:c r="R18" s="14" t="str">
        <x:v>web/app.js; api/internal/subscriber/http.go</x:v>
      </x:c>
      <x:c r="S18" s="14" t="str">
        <x:v>41658abc55cbfe16536285d46e994b636160a5f5</x:v>
      </x:c>
      <x:c r="T18" s="14" t="str">
        <x:v>Repeat the documented test after any tracker-backed fix.</x:v>
      </x:c>
      <x:c r="U18" s="14" t="str">
        <x:v>PASS — invalid confirmation returns safe 400; form/API messages are bounded; Turnstile expiration/failure callbacks now provide recovery instructions. Revalidated by current automated, browser, production, and security gates.</x:v>
      </x:c>
      <x:c r="V18" s="14" t="str">
        <x:v>Verified</x:v>
      </x:c>
      <x:c r="W18" s="14" t="str">
        <x:v>No</x:v>
      </x:c>
      <x:c r="X18" s="14" t="str">
        <x:v>Evidence: qa_evidence/commands/; qa_evidence/logs/production-browser-qa.txt; feature-specific production and test records retained without secrets. Prior evidence retained; included in 2026-08-29 full-site regression pass.</x:v>
      </x:c>
      <x:c r="Y18" s="14" t="str">
        <x:v>Finish the MIRROR//LOOP website; make the quiz immediately understandable; deploy the subscriber magnet on GCP using the authorized $150 credit.</x:v>
      </x:c>
    </x:row>
    <x:row r="19" ht="22" customHeight="1">
      <x:c r="A19" s="14" t="str">
        <x:v>F-018</x:v>
      </x:c>
      <x:c r="B19" s="14" t="str">
        <x:v>Private corpus and security boundary</x:v>
      </x:c>
      <x:c r="C19" s="14" t="str">
        <x:v>Security</x:v>
      </x:c>
      <x:c r="D19" s="14" t="str">
        <x:v>scripts/validate-site.mjs; firebase.json; deploy/firestore.rules; api/internal/subscriber/http.go</x:v>
      </x:c>
      <x:c r="E19" s="14" t="str">
        <x:v>Public site and API</x:v>
      </x:c>
      <x:c r="F19" s="14" t="str">
        <x:v>Public visitor</x:v>
      </x:c>
      <x:c r="G19" s="14" t="str">
        <x:v>As a visitor, I want the public experience to protect private source material and my data, so that reflection content and signup data remain appropriately bounded.</x:v>
      </x:c>
      <x:c r="H19" s="14" t="str">
        <x:v>No private Rosicrucian/Geneva corpus paths or full texts are exposed; Firestore denies client access; secure headers and service-side secrets are used.</x:v>
      </x:c>
      <x:c r="I19" s="14" t="str">
        <x:v>PASS — validation found no private corpus identifiers; Firestore client access is denied; production sends CSP, HSTS, referrer, permissions, and nosniff headers. Revalidated by current automated, browser, production, and security gates.</x:v>
      </x:c>
      <x:c r="J19" s="14" t="str">
        <x:v>Verified</x:v>
      </x:c>
      <x:c r="K19" s="14" t="str">
        <x:v>Automated + browser</x:v>
      </x:c>
      <x:c r="L19" s="14" t="str">
        <x:v>Run site validation; inspect public assets, headers, Firestore rules, and deployed responses for leakage.</x:v>
      </x:c>
      <x:c r="M19" s="14" t="str">
        <x:v>PASS — validation found no private corpus identifiers; Firestore client access is denied; production sends CSP, HSTS, referrer, permissions, and nosniff headers.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19" s="14" t="str"/>
      <x:c r="O19" s="14" t="str">
        <x:v>None</x:v>
      </x:c>
      <x:c r="P19" s="14" t="str">
        <x:v>No</x:v>
      </x:c>
      <x:c r="Q19" s="14" t="str">
        <x:v>No change required.</x:v>
      </x:c>
      <x:c r="R19" s="14" t="str"/>
      <x:c r="S19" s="14" t="str"/>
      <x:c r="T19" s="14" t="str">
        <x:v>Repeat the documented test after any tracker-backed fix.</x:v>
      </x:c>
      <x:c r="U19" s="14" t="str">
        <x:v>PASS — validation found no private corpus identifiers; Firestore client access is denied; production sends CSP, HSTS, referrer, permissions, and nosniff headers. Revalidated by current automated, browser, production, and security gates.</x:v>
      </x:c>
      <x:c r="V19" s="14" t="str">
        <x:v>Verified</x:v>
      </x:c>
      <x:c r="W19" s="14" t="str">
        <x:v>No</x:v>
      </x:c>
      <x:c r="X19" s="14" t="str">
        <x:v>Evidence: qa_evidence/commands/; qa_evidence/logs/production-browser-qa.txt; feature-specific production and test records retained without secrets. Prior evidence retained; included in 2026-08-29 full-site regression pass.</x:v>
      </x:c>
      <x:c r="Y19" s="14" t="str">
        <x:v>Finish the MIRROR//LOOP website; make the quiz immediately understandable; deploy the subscriber magnet on GCP using the authorized $150 credit.</x:v>
      </x:c>
    </x:row>
    <x:row r="20" ht="22" customHeight="1">
      <x:c r="A20" s="14" t="str">
        <x:v>F-019</x:v>
      </x:c>
      <x:c r="B20" s="14" t="str">
        <x:v>Production availability and cost guardrails</x:v>
      </x:c>
      <x:c r="C20" s="14" t="str">
        <x:v>Operations</x:v>
      </x:c>
      <x:c r="D20" s="14" t="str">
        <x:v>firebase.json; deploy/bootstrap-gcp.sh; deploy/deploy-api.sh; deploy/firestore.indexes.json</x:v>
      </x:c>
      <x:c r="E20" s="14" t="str">
        <x:v>mirrorloopai.com; GCP project mirrorloopai-com</x:v>
      </x:c>
      <x:c r="F20" s="14" t="str">
        <x:v>Site operator</x:v>
      </x:c>
      <x:c r="G20" s="14" t="str">
        <x:v>As the site operator, I want the quiz and subscriber API live with bounded cloud spend, so that the lead magnet works without uncontrolled cost.</x:v>
      </x:c>
      <x:c r="H20" s="14" t="str">
        <x:v>Custom domain serves the site; API rewrite reaches Cloud Run; minimum instances are zero, maximum instances are capped, billing budget alerts exist, and health checks pass.</x:v>
      </x:c>
      <x:c r="I20" s="14" t="str">
        <x:v>PASS — mirrorloopai.com, privacy, confirmed, and API health routes are live; www redirects; billing is linked; $10 budget alerts exist; Cloud Run is Ready with min 0/max 1 and temporary QA service removed. Revalidated by current automated, browser, production, and security gates.</x:v>
      </x:c>
      <x:c r="J20" s="14" t="str">
        <x:v>Verified</x:v>
      </x:c>
      <x:c r="K20" s="14" t="str">
        <x:v>Automated + integration + production</x:v>
      </x:c>
      <x:c r="L20" s="14" t="str">
        <x:v>Verify billing link, budget, enabled APIs, Cloud Run caps/health, Firebase rewrite, TLS, and custom domain.</x:v>
      </x:c>
      <x:c r="M20" s="14" t="str">
        <x:v>PASS — mirrorloopai.com, privacy, confirmed, and API health routes are live; www redirects; billing is linked; $10 budget alerts exist; Cloud Run is Ready with min 0/max 1 and temporary QA service removed.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20" s="14" t="str"/>
      <x:c r="O20" s="14" t="str">
        <x:v>None</x:v>
      </x:c>
      <x:c r="P20" s="14" t="str">
        <x:v>No</x:v>
      </x:c>
      <x:c r="Q20" s="14" t="str">
        <x:v>Linked billing, created a $10 monthly budget with 25/50/80/100% alerts, provisioned Firestore/TTL/secrets/service account, capped Cloud Run at one instance, deployed the Firebase rewrite, and declared the live TTL override for repeatable full deploys.</x:v>
      </x:c>
      <x:c r="R20" s="14" t="str">
        <x:v>deploy/bootstrap-gcp.sh; deploy/deploy-api.sh; deploy/firestore.indexes.json; firebase.json; web/config.js</x:v>
      </x:c>
      <x:c r="S20" s="14" t="str">
        <x:v>41658abc55cbfe16536285d46e994b636160a5f5</x:v>
      </x:c>
      <x:c r="T20" s="14" t="str">
        <x:v>Repeat the documented test after any tracker-backed fix.</x:v>
      </x:c>
      <x:c r="U20" s="14" t="str">
        <x:v>PASS — mirrorloopai.com, privacy, confirmed, and API health routes are live; www redirects; billing is linked; $10 budget alerts exist; Cloud Run is Ready with min 0/max 1 and temporary QA service removed. Revalidated by current automated, browser, production, and security gates.</x:v>
      </x:c>
      <x:c r="V20" s="14" t="str">
        <x:v>Verified</x:v>
      </x:c>
      <x:c r="W20" s="14" t="str">
        <x:v>No</x:v>
      </x:c>
      <x:c r="X20" s="14" t="str">
        <x:v>Evidence: qa_evidence/commands/; qa_evidence/logs/production-browser-qa.txt; qa_evidence/logs/firebase-full-deploy-final.txt; feature-specific production and test records retained without secrets. Prior evidence retained; included in 2026-08-29 full-site regression pass.</x:v>
      </x:c>
      <x:c r="Y20" s="14" t="str">
        <x:v>Finish the MIRROR//LOOP website; make the quiz immediately understandable; deploy the subscriber magnet on GCP using the authorized $150 credit.</x:v>
      </x:c>
    </x:row>
    <x:row r="21">
      <x:c r="A21" s="14" t="str">
        <x:v>F-020</x:v>
      </x:c>
      <x:c r="B21" s="14" t="str">
        <x:v>Privacy-preserving conversion analytics</x:v>
      </x:c>
      <x:c r="C21" s="14" t="str">
        <x:v>Analytics and operations</x:v>
      </x:c>
      <x:c r="D21" s="14" t="str">
        <x:v>web/app.js; web/privacy.html; api/internal/analytics; api/internal/subscriber/http.go; api/internal/subscriber/service.go; api/cmd/analytics-report</x:v>
      </x:c>
      <x:c r="E21" s="14" t="str">
        <x:v>Quiz start; quiz result; confirmed subscription; operator analytics report</x:v>
      </x:c>
      <x:c r="F21" s="14" t="str">
        <x:v>Site operator and privacy-conscious visitor</x:v>
      </x:c>
      <x:c r="G21" s="14" t="str">
        <x:v>As the site operator, I want aggregate counts of quiz starts, quiz completions, and confirmed subscriptions, so that I can improve conversion without profiling individual visitors.</x:v>
      </x:c>
      <x:c r="H21" s="14" t="str">
        <x:v>The app records only allowlisted aggregate funnel counters by UTC day and total; quiz events carry no email, answers, IP, cookie, fingerprint, or persistent visitor ID; confirmation is recorded server-side only; duplicate browser events are bounded per tab session; private counters deny direct client access; an authenticated operator command reports counts and conversion rates.</x:v>
      </x:c>
      <x:c r="I21" s="14" t="str">
        <x:v>PASS — production records only daily and total allowlisted counters; browser payloads contain only the event name; confirmation counting is server-side; direct Firestore reads are denied; the authenticated report returns counts and rates. Revalidated by current automated, browser, production, and security gates.</x:v>
      </x:c>
      <x:c r="J21" s="14" t="str">
        <x:v>Verified</x:v>
      </x:c>
      <x:c r="K21" s="14" t="str">
        <x:v>Automated + integration + production</x:v>
      </x:c>
      <x:c r="L21" s="14" t="str">
        <x:v>Verify no analytics network event before interaction; begin and complete the quiz; confirm only allowlisted event payloads; exercise invalid event and oversized/unknown-field rejection; prove aggregate-only Firestore shape and denied anonymous reads; confirm a subscription records server-side; run the authenticated operator report; inspect privacy copy; regression-test the quiz and subscriber flow.</x:v>
      </x:c>
      <x:c r="M21" s="14" t="str">
        <x:v>PASS — production records only daily and total allowlisted counters; browser payloads contain only the event name; confirmation counting is server-side; direct Firestore reads are denied; the authenticated report returns counts and rates.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21" s="14" t="str"/>
      <x:c r="O21" s="14" t="str">
        <x:v>None</x:v>
      </x:c>
      <x:c r="P21" s="14" t="str">
        <x:v>No</x:v>
      </x:c>
      <x:c r="Q21" s="14" t="str">
        <x:v>Added an aggregate-only Firestore recorder, allowlisted first-party event endpoint, per-tab duplicate suppression, server-side confirmation counting, authenticated operator report, privacy disclosure, and production deployment.</x:v>
      </x:c>
      <x:c r="R21" s="14" t="str">
        <x:v>web/app.js; web/lib/analytics.js; web/tests/analytics.test.mjs; web/privacy.html; api/internal/analytics; api/internal/subscriber/http.go; api/internal/subscriber/service.go; api/cmd/analytics-report; Makefile; docs/MirrorLoopAI_Subscriber_Magnet_Architecture_2026_08_25.html; CHANGELOG.md</x:v>
      </x:c>
      <x:c r="S21" s="14" t="str">
        <x:v>41ccce140e13759d970ffd4d7b7dc3f5ada9372c</x:v>
      </x:c>
      <x:c r="T21" s="14" t="str">
        <x:v>Repeat all F-020 test steps and affected F-004 through F-018 regressions after implementation and deployment.</x:v>
      </x:c>
      <x:c r="U21" s="14" t="str">
        <x:v>PASS — production records only daily and total allowlisted counters; browser payloads contain only the event name; confirmation counting is server-side; direct Firestore reads are denied; the authenticated report returns counts and rates. Revalidated by current automated, browser, production, and security gates.</x:v>
      </x:c>
      <x:c r="V21" s="14" t="str">
        <x:v>Verified</x:v>
      </x:c>
      <x:c r="W21" s="14" t="str">
        <x:v>No</x:v>
      </x:c>
      <x:c r="X21" s="14" t="str">
        <x:v>Evidence: qa_evidence/commands/analytics-local-final-gates.txt; qa_evidence/commands/analytics-production-api.txt; qa_evidence/commands/analytics-production-firestore-corrected.txt; qa_evidence/commands/analytics-production-reset.txt; qa_evidence/logs/analytics-production-browser.txt; qa_evidence/logs/lighthouse-production-mobile-analytics-final.json. Production QA counters were reset to zero after verification. Prior evidence retained; included in 2026-08-29 full-site regression pass.</x:v>
      </x:c>
      <x:c r="Y21" s="14" t="str">
        <x:v>Add privacy-preserving conversion analytics for quiz starts, completions, and confirmed subscriptions.</x:v>
      </x:c>
    </x:row>
    <x:row r="22">
      <x:c r="A22" s="14" t="str">
        <x:v>F-021</x:v>
      </x:c>
      <x:c r="B22" s="14" t="str">
        <x:v>Unfamiliar first-time visitor orientation</x:v>
      </x:c>
      <x:c r="C22" s="14" t="str">
        <x:v>Persona journey</x:v>
      </x:c>
      <x:c r="D22" s="14" t="str">
        <x:v>web/index.html; web/styles.css</x:v>
      </x:c>
      <x:c r="E22" s="14" t="str">
        <x:v>Landing page through quiz entry</x:v>
      </x:c>
      <x:c r="F22" s="14" t="str">
        <x:v>First-time visitor unfamiliar with MIRROR//LOOP</x:v>
      </x:c>
      <x:c r="G22" s="14" t="str">
        <x:v>As a first-time visitor unfamiliar with MIRROR//LOOP, I want to understand what I will receive before I start, so that I can decide whether the reflection is worth two minutes.</x:v>
      </x:c>
      <x:c r="H22" s="14" t="str">
        <x:v>Within the initial viewport and before quiz entry, the visitor can identify the experience, time commitment, output, privacy boundary, and immediate start action without understanding the 144-card system.</x:v>
      </x:c>
      <x:c r="I22" s="14" t="str">
        <x:v>PASS — current automated and browser regression gates satisfy the story; prior evidence remains linked in Notes.</x:v>
      </x:c>
      <x:c r="J22" s="14" t="str">
        <x:v>Verified</x:v>
      </x:c>
      <x:c r="K22" s="14" t="str">
        <x:v>Persona walkthrough + automated + browser</x:v>
      </x:c>
      <x:c r="L22" s="14" t="str">
        <x:v>Review production at desktop and mobile widths; state what the product is after a five-second scan; identify duration, required data, result, and start action; follow the card-image interaction.</x:v>
      </x:c>
      <x:c r="M22" s="14" t="str">
        <x:v>PASS — current automated and browser regression gates satisfy the story; prior evidence remains linked in Notes.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22" s="14" t="str"/>
      <x:c r="O22" s="14" t="str">
        <x:v>None</x:v>
      </x:c>
      <x:c r="P22" s="14" t="str">
        <x:v>No</x:v>
      </x:c>
      <x:c r="Q22" s="14" t="str">
        <x:v>Moved the mobile hero copy and CTA before the card, reduced the mobile card footprint, and clarified that Card 012 is a visual preview rather than the quiz result.</x:v>
      </x:c>
      <x:c r="R22" s="14" t="str">
        <x:v>web/index.html; web/styles.css</x:v>
      </x:c>
      <x:c r="S22" s="14" t="str">
        <x:v>7f06937bcbdb9d91c2c243920f8d68a06784f064</x:v>
      </x:c>
      <x:c r="T22" s="14" t="str">
        <x:v>Repeat the persona walkthrough and all affected existing feature stories after any tracker-backed fix.</x:v>
      </x:c>
      <x:c r="U22" s="14" t="str">
        <x:v>PASS — current automated and browser regression gates satisfy the story; prior evidence remains linked in Notes.</x:v>
      </x:c>
      <x:c r="V22" s="14" t="str">
        <x:v>Verified</x:v>
      </x:c>
      <x:c r="W22" s="14" t="str">
        <x:v>No</x:v>
      </x:c>
      <x:c r="X22" s="14" t="str">
        <x:v>Evidence: qa_evidence/screenshots/persona-mobile-landing-before.png; qa_evidence/screenshots/persona-mobile-landing-after-production.png Prior evidence retained; included in 2026-08-29 full-site regression pass.</x:v>
      </x:c>
      <x:c r="Y22" s="14" t="str">
        <x:v>Audit the MIRROR//LOOP website from several different user personas and improve it.</x:v>
      </x:c>
    </x:row>
    <x:row r="23">
      <x:c r="A23" s="14" t="str">
        <x:v>F-022</x:v>
      </x:c>
      <x:c r="B23" s="14" t="str">
        <x:v>Skeptical visitor trust and claim boundaries</x:v>
      </x:c>
      <x:c r="C23" s="14" t="str">
        <x:v>Persona journey</x:v>
      </x:c>
      <x:c r="D23" s="14" t="str">
        <x:v>web/index.html; web/privacy.html; web/data/quiz.json</x:v>
      </x:c>
      <x:c r="E23" s="14" t="str">
        <x:v>Landing, quiz, result, privacy notice</x:v>
      </x:c>
      <x:c r="F23" s="14" t="str">
        <x:v>Skeptical evidence-conscious visitor</x:v>
      </x:c>
      <x:c r="G23" s="14" t="str">
        <x:v>As a skeptical visitor, I want clear limits on what the quiz can and cannot tell me, so that I can engage without being misled by mystical or diagnostic claims.</x:v>
      </x:c>
      <x:c r="H23" s="14" t="str">
        <x:v>Copy consistently presents the quiz as a reflective prompt rather than a diagnosis, prediction, personality test, or scientific measurement; unfamiliar symbols do not imply unsupported authority.</x:v>
      </x:c>
      <x:c r="I23" s="14" t="str">
        <x:v>PASS — current automated and browser regression gates satisfy the story; prior evidence remains linked in Notes.</x:v>
      </x:c>
      <x:c r="J23" s="14" t="str">
        <x:v>Verified</x:v>
      </x:c>
      <x:c r="K23" s="14" t="str">
        <x:v>Persona walkthrough + automated + browser</x:v>
      </x:c>
      <x:c r="L23" s="14" t="str">
        <x:v>Inspect hero, instructions, all question labels, result, subscription offer, and privacy notice for predictive, diagnostic, scientific, or coercive framing; verify boundary copy is visible before and after the quiz.</x:v>
      </x:c>
      <x:c r="M23" s="14" t="str">
        <x:v>PASS — current automated and browser regression gates satisfy the story; prior evidence remains linked in Notes.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23" s="14" t="str"/>
      <x:c r="O23" s="14" t="str">
        <x:v>None</x:v>
      </x:c>
      <x:c r="P23" s="14" t="str">
        <x:v>No</x:v>
      </x:c>
      <x:c r="Q23" s="14" t="str">
        <x:v>Replaced public section labels and result domains with plain-language topics and added an automated loaded-language guard.</x:v>
      </x:c>
      <x:c r="R23" s="14" t="str">
        <x:v>web/data/quiz.json; web/tests/quiz-core.test.mjs</x:v>
      </x:c>
      <x:c r="S23" s="14" t="str">
        <x:v>7f06937bcbdb9d91c2c243920f8d68a06784f064</x:v>
      </x:c>
      <x:c r="T23" s="14" t="str">
        <x:v>Repeat the persona walkthrough and all affected existing feature stories after any tracker-backed fix.</x:v>
      </x:c>
      <x:c r="U23" s="14" t="str">
        <x:v>PASS — current automated and browser regression gates satisfy the story; prior evidence remains linked in Notes.</x:v>
      </x:c>
      <x:c r="V23" s="14" t="str">
        <x:v>Verified</x:v>
      </x:c>
      <x:c r="W23" s="14" t="str">
        <x:v>No</x:v>
      </x:c>
      <x:c r="X23" s="14" t="str">
        <x:v>Evidence: qa_evidence/persona-audit/content-inventory.txt; qa_evidence/persona-audit/persona-retest-after.txt Prior evidence retained; included in 2026-08-29 full-site regression pass.</x:v>
      </x:c>
      <x:c r="Y23" s="14" t="str">
        <x:v>Audit the MIRROR//LOOP website from several different user personas and improve it.</x:v>
      </x:c>
    </x:row>
    <x:row r="24">
      <x:c r="A24" s="14" t="str">
        <x:v>F-023</x:v>
      </x:c>
      <x:c r="B24" s="14" t="str">
        <x:v>Time-pressed mobile completion</x:v>
      </x:c>
      <x:c r="C24" s="14" t="str">
        <x:v>Persona journey</x:v>
      </x:c>
      <x:c r="D24" s="14" t="str">
        <x:v>web/index.html; web/styles.css; web/app.js; web/data/quiz.json</x:v>
      </x:c>
      <x:c r="E24" s="14" t="str">
        <x:v>Mobile landing and 12-question flow</x:v>
      </x:c>
      <x:c r="F24" s="14" t="str">
        <x:v>Time-pressed mobile visitor</x:v>
      </x:c>
      <x:c r="G24" s="14" t="str">
        <x:v>As a visitor with only a few minutes on a phone, I want each choice and navigation step to be quick to scan and operate, so that I can finish without fatigue or uncertainty.</x:v>
      </x:c>
      <x:c r="H24" s="14" t="str">
        <x:v>The start action is obvious; the page states the effort; every question fits a clear mobile rhythm; answer choices use plain language; selected state and Next action are unmistakable; completion requires no email.</x:v>
      </x:c>
      <x:c r="I24" s="14" t="str">
        <x:v>PASS — current automated and browser regression gates satisfy the story; prior evidence remains linked in Notes.</x:v>
      </x:c>
      <x:c r="J24" s="14" t="str">
        <x:v>Verified</x:v>
      </x:c>
      <x:c r="K24" s="14" t="str">
        <x:v>Persona walkthrough + automated + browser</x:v>
      </x:c>
      <x:c r="L24" s="14" t="str">
        <x:v>Run the complete quiz at 390x844; inspect first, middle, and last questions; count choices and taps; verify selected state, progress, back navigation, result arrival, no horizontal overflow, and optional email boundary.</x:v>
      </x:c>
      <x:c r="M24" s="14" t="str">
        <x:v>PASS — current automated and browser regression gates satisfy the story; prior evidence remains linked in Notes.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24" s="14" t="str"/>
      <x:c r="O24" s="14" t="str">
        <x:v>None</x:v>
      </x:c>
      <x:c r="P24" s="14" t="str">
        <x:v>No</x:v>
      </x:c>
      <x:c r="Q24" s="14" t="str">
        <x:v>Changed the simultaneous 12-option display into four accessible response disclosures with three visible choices, plain summaries, and sticky mobile controls.</x:v>
      </x:c>
      <x:c r="R24" s="14" t="str">
        <x:v>web/app.js; web/lib/quiz-core.js; web/styles.css; web/index.html</x:v>
      </x:c>
      <x:c r="S24" s="14" t="str">
        <x:v>7f06937bcbdb9d91c2c243920f8d68a06784f064</x:v>
      </x:c>
      <x:c r="T24" s="14" t="str">
        <x:v>Repeat the persona walkthrough and all affected existing feature stories after any tracker-backed fix.</x:v>
      </x:c>
      <x:c r="U24" s="14" t="str">
        <x:v>PASS — current automated and browser regression gates satisfy the story; prior evidence remains linked in Notes.</x:v>
      </x:c>
      <x:c r="V24" s="14" t="str">
        <x:v>Verified</x:v>
      </x:c>
      <x:c r="W24" s="14" t="str">
        <x:v>No</x:v>
      </x:c>
      <x:c r="X24" s="14" t="str">
        <x:v>Evidence: qa_evidence/persona-audit/persona-retest-after.txt; qa_evidence/persona-audit/lighthouse-mobile-final.json Prior evidence retained; included in 2026-08-29 full-site regression pass.</x:v>
      </x:c>
      <x:c r="Y24" s="14" t="str">
        <x:v>Audit the MIRROR//LOOP website from several different user personas and improve it.</x:v>
      </x:c>
    </x:row>
    <x:row r="25">
      <x:c r="A25" s="14" t="str">
        <x:v>F-024</x:v>
      </x:c>
      <x:c r="B25" s="14" t="str">
        <x:v>Privacy-conscious anonymous journey</x:v>
      </x:c>
      <x:c r="C25" s="14" t="str">
        <x:v>Persona journey</x:v>
      </x:c>
      <x:c r="D25" s="14" t="str">
        <x:v>web/index.html; web/app.js; web/privacy.html; web/lib/analytics.js</x:v>
      </x:c>
      <x:c r="E25" s="14" t="str">
        <x:v>Landing through result without subscription</x:v>
      </x:c>
      <x:c r="F25" s="14" t="str">
        <x:v>Privacy-conscious visitor</x:v>
      </x:c>
      <x:c r="G25" s="14" t="str">
        <x:v>As a privacy-conscious visitor, I want to complete the reflection anonymously and understand any measurement that occurs, so that I remain in control of my information.</x:v>
      </x:c>
      <x:c r="H25" s="14" t="str">
        <x:v>The visitor can reach the result without email; concise privacy information is available before starting; analytics and email collection are explained in accessible language; no hidden form or challenge blocks anonymous completion.</x:v>
      </x:c>
      <x:c r="I25" s="14" t="str">
        <x:v>PASS — current automated and browser regression gates satisfy the story; prior evidence remains linked in Notes.</x:v>
      </x:c>
      <x:c r="J25" s="14" t="str">
        <x:v>Verified</x:v>
      </x:c>
      <x:c r="K25" s="14" t="str">
        <x:v>Persona walkthrough + automated + browser</x:v>
      </x:c>
      <x:c r="L25" s="14" t="str">
        <x:v>Complete the quiz without email; inspect browser storage and network payloads; find privacy disclosure from the initial journey; verify the privacy notice distinguishes aggregate analytics from subscription data.</x:v>
      </x:c>
      <x:c r="M25" s="14" t="str">
        <x:v>PASS — current automated and browser regression gates satisfy the story; prior evidence remains linked in Notes.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25" s="14" t="str"/>
      <x:c r="O25" s="14" t="str">
        <x:v>None</x:v>
      </x:c>
      <x:c r="P25" s="14" t="str">
        <x:v>No</x:v>
      </x:c>
      <x:c r="Q25" s="14" t="str">
        <x:v>Added point-of-decision privacy copy and deferred third-party Turnstile loading until the optional email form appears after the result.</x:v>
      </x:c>
      <x:c r="R25" s="14" t="str">
        <x:v>web/index.html; web/app.js; scripts/validate-site.mjs</x:v>
      </x:c>
      <x:c r="S25" s="14" t="str">
        <x:v>7f06937bcbdb9d91c2c243920f8d68a06784f064</x:v>
      </x:c>
      <x:c r="T25" s="14" t="str">
        <x:v>Repeat the persona walkthrough and all affected existing feature stories after any tracker-backed fix.</x:v>
      </x:c>
      <x:c r="U25" s="14" t="str">
        <x:v>PASS — current automated and browser regression gates satisfy the story; prior evidence remains linked in Notes.</x:v>
      </x:c>
      <x:c r="V25" s="14" t="str">
        <x:v>Verified</x:v>
      </x:c>
      <x:c r="W25" s="14" t="str">
        <x:v>No</x:v>
      </x:c>
      <x:c r="X25" s="14" t="str">
        <x:v>Evidence: qa_evidence/persona-audit/persona-retest-after.txt; qa_evidence/persona-audit/production-route-and-copy-checks.txt Prior evidence retained; included in 2026-08-29 full-site regression pass.</x:v>
      </x:c>
      <x:c r="Y25" s="14" t="str">
        <x:v>Audit the MIRROR//LOOP website from several different user personas and improve it.</x:v>
      </x:c>
    </x:row>
    <x:row r="26">
      <x:c r="A26" s="14" t="str">
        <x:v>F-025</x:v>
      </x:c>
      <x:c r="B26" s="14" t="str">
        <x:v>Keyboard and screen-reader quiz journey</x:v>
      </x:c>
      <x:c r="C26" s="14" t="str">
        <x:v>Persona journey</x:v>
      </x:c>
      <x:c r="D26" s="14" t="str">
        <x:v>web/index.html; web/app.js; web/styles.css</x:v>
      </x:c>
      <x:c r="E26" s="14" t="str">
        <x:v>Landing, quiz, result, subscription form</x:v>
      </x:c>
      <x:c r="F26" s="14" t="str">
        <x:v>Keyboard-only and screen-reader user</x:v>
      </x:c>
      <x:c r="G26" s="14" t="str">
        <x:v>As a keyboard or screen-reader user, I want meaningful focus, group labels, progress, status, and error announcements, so that I can complete every public flow independently.</x:v>
      </x:c>
      <x:c r="H26" s="14" t="str">
        <x:v>Tab order follows the visual flow; focus is visible; each question and answer group is announced; progress changes are understandable; selected answers expose state; result and form status receive meaningful announcements; no keyboard trap exists.</x:v>
      </x:c>
      <x:c r="I26" s="14" t="str">
        <x:v>PASS — skip link, visible focus, answer button state, group labels, question focus transitions, result semantics, and mobile Lighthouse accessibility all passed. Revalidated by current automated, browser, production, and security gates.</x:v>
      </x:c>
      <x:c r="J26" s="14" t="str">
        <x:v>Verified</x:v>
      </x:c>
      <x:c r="K26" s="14" t="str">
        <x:v>Persona walkthrough + automated + browser</x:v>
      </x:c>
      <x:c r="L26" s="14" t="str">
        <x:v>Use keyboard only from skip link through result and subscription controls; inspect the accessibility tree at each major state; test reduced motion; run Lighthouse accessibility and check focus after answer, Next, Back, result, and retake.</x:v>
      </x:c>
      <x:c r="M26" s="14" t="str">
        <x:v>PASS — skip link, visible focus, answer button state, group labels, question focus transitions, result semantics, and mobile Lighthouse accessibility all passed.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26" s="14" t="str"/>
      <x:c r="O26" s="14" t="str">
        <x:v>None</x:v>
      </x:c>
      <x:c r="P26" s="14" t="str">
        <x:v>No</x:v>
      </x:c>
      <x:c r="Q26" s="14" t="str">
        <x:v>No change required.</x:v>
      </x:c>
      <x:c r="R26" s="14" t="str"/>
      <x:c r="S26" s="14" t="str">
        <x:v>7f06937bcbdb9d91c2c243920f8d68a06784f064</x:v>
      </x:c>
      <x:c r="T26" s="14" t="str">
        <x:v>Repeat keyboard selection, disclosure operation, Next/Back focus movement, result focus, retake, overflow, and Lighthouse checks after the adjacent quiz redesign.</x:v>
      </x:c>
      <x:c r="U26" s="14" t="str">
        <x:v>PASS — skip link, visible focus, answer button state, group labels, question focus transitions, result semantics, and mobile Lighthouse accessibility all passed. Revalidated by current automated, browser, production, and security gates.</x:v>
      </x:c>
      <x:c r="V26" s="14" t="str">
        <x:v>Verified</x:v>
      </x:c>
      <x:c r="W26" s="14" t="str">
        <x:v>No</x:v>
      </x:c>
      <x:c r="X26" s="14" t="str">
        <x:v>Evidence: qa_evidence/persona-audit/persona-findings-before.txt; qa_evidence/persona-audit/persona-retest-after.txt; qa_evidence/persona-audit/lighthouse-mobile-final.json. Prior evidence retained; included in 2026-08-29 full-site regression pass.</x:v>
      </x:c>
      <x:c r="Y26" s="14" t="str">
        <x:v>Audit the MIRROR//LOOP website from several different user personas and improve it.</x:v>
      </x:c>
    </x:row>
    <x:row r="27">
      <x:c r="A27" s="14" t="str">
        <x:v>F-026</x:v>
      </x:c>
      <x:c r="B27" s="14" t="str">
        <x:v>Emotionally vulnerable visitor safety</x:v>
      </x:c>
      <x:c r="C27" s="14" t="str">
        <x:v>Persona journey</x:v>
      </x:c>
      <x:c r="D27" s="14" t="str">
        <x:v>web/index.html; web/data/quiz.json; web/lib/quiz-core.js</x:v>
      </x:c>
      <x:c r="E27" s="14" t="str">
        <x:v>Quiz questions and result</x:v>
      </x:c>
      <x:c r="F27" s="14" t="str">
        <x:v>Visitor seeking meaning during stress</x:v>
      </x:c>
      <x:c r="G27" s="14" t="str">
        <x:v>As a visitor using the reflection during a stressful moment, I want language that is nonjudgmental and actionable, so that the result supports reflection without defining or alarming me.</x:v>
      </x:c>
      <x:c r="H27" s="14" t="str">
        <x:v>Questions avoid shame and deterministic labels; the result explains strengths and limits in ordinary language; the suggested action is small and safe; the experience does not imply crisis, fate, pathology, or guaranteed transformation.</x:v>
      </x:c>
      <x:c r="I27" s="14" t="str">
        <x:v>PASS — current automated and browser regression gates satisfy the story; prior evidence remains linked in Notes.</x:v>
      </x:c>
      <x:c r="J27" s="14" t="str">
        <x:v>Verified</x:v>
      </x:c>
      <x:c r="K27" s="14" t="str">
        <x:v>Persona walkthrough + automated + browser</x:v>
      </x:c>
      <x:c r="L27" s="14" t="str">
        <x:v>Read every question, all answer options, all 12 result summaries, and prompts through a psychological-safety lens; verify boundary language and check whether loaded labels are explained or softened.</x:v>
      </x:c>
      <x:c r="M27" s="14" t="str">
        <x:v>PASS — current automated and browser regression gates satisfy the story; prior evidence remains linked in Notes.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27" s="14" t="str"/>
      <x:c r="O27" s="14" t="str">
        <x:v>None</x:v>
      </x:c>
      <x:c r="P27" s="14" t="str">
        <x:v>No</x:v>
      </x:c>
      <x:c r="Q27" s="14" t="str">
        <x:v>Rewrote loaded question topics and selected answer labels in calm, ordinary language while preserving intent and scoring codes.</x:v>
      </x:c>
      <x:c r="R27" s="14" t="str">
        <x:v>web/data/quiz.json; web/tests/quiz-core.test.mjs</x:v>
      </x:c>
      <x:c r="S27" s="14" t="str">
        <x:v>7f06937bcbdb9d91c2c243920f8d68a06784f064</x:v>
      </x:c>
      <x:c r="T27" s="14" t="str">
        <x:v>Repeat the persona walkthrough and all affected existing feature stories after any tracker-backed fix.</x:v>
      </x:c>
      <x:c r="U27" s="14" t="str">
        <x:v>PASS — current automated and browser regression gates satisfy the story; prior evidence remains linked in Notes.</x:v>
      </x:c>
      <x:c r="V27" s="14" t="str">
        <x:v>Verified</x:v>
      </x:c>
      <x:c r="W27" s="14" t="str">
        <x:v>No</x:v>
      </x:c>
      <x:c r="X27" s="14" t="str">
        <x:v>Evidence: qa_evidence/persona-audit/persona-retest-after.txt Prior evidence retained; included in 2026-08-29 full-site regression pass.</x:v>
      </x:c>
      <x:c r="Y27" s="14" t="str">
        <x:v>Audit the MIRROR//LOOP website from several different user personas and improve it.</x:v>
      </x:c>
    </x:row>
    <x:row r="28">
      <x:c r="A28" s="14" t="str">
        <x:v>F-027</x:v>
      </x:c>
      <x:c r="B28" s="14" t="str">
        <x:v>Returning visitor result comprehension</x:v>
      </x:c>
      <x:c r="C28" s="14" t="str">
        <x:v>Persona journey</x:v>
      </x:c>
      <x:c r="D28" s="14" t="str">
        <x:v>web/index.html; web/app.js; web/lib/quiz-core.js</x:v>
      </x:c>
      <x:c r="E28" s="14" t="str">
        <x:v>Result, supporting pattern, retake, email offer</x:v>
      </x:c>
      <x:c r="F28" s="14" t="str">
        <x:v>Returning or comparison-oriented visitor</x:v>
      </x:c>
      <x:c r="G28" s="14" t="str">
        <x:v>As a returning visitor, I want to understand the primary and supporting patterns and retake intentionally, so that I can compare reflections without mistaking them for permanent scores.</x:v>
      </x:c>
      <x:c r="H28" s="14" t="str">
        <x:v>The result explains why two patterns are shown, what each contributes, and what changes on retake; the visitor can retake without stale answers or mandatory subscription.</x:v>
      </x:c>
      <x:c r="I28" s="14" t="str">
        <x:v>PASS — current automated and browser regression gates satisfy the story; prior evidence remains linked in Notes.</x:v>
      </x:c>
      <x:c r="J28" s="14" t="str">
        <x:v>Verified</x:v>
      </x:c>
      <x:c r="K28" s="14" t="str">
        <x:v>Persona walkthrough + automated + browser</x:v>
      </x:c>
      <x:c r="L28" s="14" t="str">
        <x:v>Complete the quiz with a known answer sequence; assess whether primary and supporting pattern meanings are self-contained; retake with a different sequence; verify answers reset and result framing remains a current snapshot.</x:v>
      </x:c>
      <x:c r="M28" s="14" t="str">
        <x:v>PASS — current automated and browser regression gates satisfy the story; prior evidence remains linked in Notes.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28" s="14" t="str"/>
      <x:c r="O28" s="14" t="str">
        <x:v>None</x:v>
      </x:c>
      <x:c r="P28" s="14" t="str">
        <x:v>No</x:v>
      </x:c>
      <x:c r="Q28" s="14" t="str">
        <x:v>Added primary frequency, supporting-pattern explanation and frequency, and a zero-count safeguard; retained complete retake reset behavior.</x:v>
      </x:c>
      <x:c r="R28" s="14" t="str">
        <x:v>web/app.js; web/index.html; web/lib/quiz-core.js; web/styles.css; web/tests/quiz-core.test.mjs</x:v>
      </x:c>
      <x:c r="S28" s="14" t="str">
        <x:v>7f06937bcbdb9d91c2c243920f8d68a06784f064</x:v>
      </x:c>
      <x:c r="T28" s="14" t="str">
        <x:v>Repeat the persona walkthrough and all affected existing feature stories after any tracker-backed fix.</x:v>
      </x:c>
      <x:c r="U28" s="14" t="str">
        <x:v>PASS — current automated and browser regression gates satisfy the story; prior evidence remains linked in Notes.</x:v>
      </x:c>
      <x:c r="V28" s="14" t="str">
        <x:v>Verified</x:v>
      </x:c>
      <x:c r="W28" s="14" t="str">
        <x:v>No</x:v>
      </x:c>
      <x:c r="X28" s="14" t="str">
        <x:v>Evidence: qa_evidence/persona-audit/persona-retest-after.txt Prior evidence retained; included in 2026-08-29 full-site regression pass.</x:v>
      </x:c>
      <x:c r="Y28" s="14" t="str">
        <x:v>Audit the MIRROR//LOOP website from several different user personas and improve it.</x:v>
      </x:c>
    </x:row>
    <x:row r="29">
      <x:c r="A29" s="14" t="str">
        <x:v>F-028</x:v>
      </x:c>
      <x:c r="B29" s="14" t="str">
        <x:v>Release asset coherence</x:v>
      </x:c>
      <x:c r="C29" s="14" t="str">
        <x:v>Production delivery</x:v>
      </x:c>
      <x:c r="D29" s="14" t="str">
        <x:v>web/index.html; web/privacy.html; web/confirmed.html; web/app.js; web/styles.css</x:v>
      </x:c>
      <x:c r="E29" s="14" t="str">
        <x:v>All production pages after a deploy</x:v>
      </x:c>
      <x:c r="F29" s="14" t="str">
        <x:v>Returning visitor with cached assets</x:v>
      </x:c>
      <x:c r="G29" s="14" t="str">
        <x:v>As a returning visitor, I want each deployed page to load mutually compatible code and styles, so that an update cannot leave me with a broken mixed-version experience.</x:v>
      </x:c>
      <x:c r="H29" s="14" t="str">
        <x:v>HTML references versioned app and style assets; app module imports are versioned together; a production reload after deployment exposes the new DOM behavior without requiring users to clear their browser cache.</x:v>
      </x:c>
      <x:c r="I29" s="14" t="str">
        <x:v>PASS — production now serves the audited WebMCP release with the origin-trial token, current versioned bundles, active shop configuration, and matching metadata.</x:v>
      </x:c>
      <x:c r="J29" s="14" t="str">
        <x:v>Fixed</x:v>
      </x:c>
      <x:c r="K29" s="14" t="str">
        <x:v>Production cache regression</x:v>
      </x:c>
      <x:c r="L29" s="14" t="str">
        <x:v>Deploy changed HTML, CSS, app.js, and module dependencies; reload from an existing browser session; verify the new section labels, response-group elements, styling, and result behavior load as one release.</x:v>
      </x:c>
      <x:c r="M29" s="14" t="str">
        <x:v>PASS — local and deployed asset markers match the audited release. Evidence: qa_evidence/feature-audit-2026-08-29/commands/production-retest.txt; qa_evidence/feature-audit-2026-08-29/commands/firebase-hosting-deploy.txt.</x:v>
      </x:c>
      <x:c r="N29" s="14" t="str">
        <x:v>INITIAL FAILURE — Public release is not coherent with the competition repository.</x:v>
      </x:c>
      <x:c r="O29" s="14" t="str">
        <x:v>Critical</x:v>
      </x:c>
      <x:c r="P29" s="14" t="str">
        <x:v>Yes</x:v>
      </x:c>
      <x:c r="Q29" s="14" t="str">
        <x:v>Deployed the versioned static bundle and verified release markers, security headers, and API health on mirrorloopai.com.</x:v>
      </x:c>
      <x:c r="R29" s="14" t="str">
        <x:v>web/index.html; web/app.js; web/config.js; web/lib/webmcp.js; web/shop.html; web/shop.js; web/styles.css; web/llms.txt</x:v>
      </x:c>
      <x:c r="S29" s="14" t="str">
        <x:v>b1b5bc3</x:v>
      </x:c>
      <x:c r="T29" s="14" t="str">
        <x:v>Repeat the documented scenario on the deployed origin and rerun the targeted automated and browser regression gates.</x:v>
      </x:c>
      <x:c r="U29" s="14" t="str">
        <x:v>PASS — public origin reports app.js?v=20260829-3, origin trial present, WebMCP import present, shop enabled, and API health OK.</x:v>
      </x:c>
      <x:c r="V29" s="14" t="str">
        <x:v>Verified</x:v>
      </x:c>
      <x:c r="W29" s="14" t="str">
        <x:v>No</x:v>
      </x:c>
      <x:c r="X29" s="14" t="str">
        <x:v>Evidence: qa_evidence/persona-audit/production-route-and-copy-checks.txt; qa_evidence/persona-audit/persona-retest-after.txt Prior evidence retained; included in 2026-08-29 full-site regression pass. Initial failed test retained: FAIL — Production still serves /app.js?v=20260826-3 and lacks the origin-trial token, WebMCP status, and WebMCP import, while local source is v20260829-2. Evidence: qa_evidence/feature-audit-2026-08-29/commands/production-audit.txt.</x:v>
      </x:c>
      <x:c r="Y29" s="14" t="str">
        <x:v>Audit the MIRROR//LOOP website from several different user personas and improve it.</x:v>
      </x:c>
    </x:row>
    <x:row r="30">
      <x:c r="A30" s="14" t="str">
        <x:v>EM-001</x:v>
      </x:c>
      <x:c r="B30" s="14" t="str">
        <x:v>Confirmation email expectation and consent clarity</x:v>
      </x:c>
      <x:c r="C30" s="14" t="str">
        <x:v>Subscriber email</x:v>
      </x:c>
      <x:c r="D30" s="14" t="str">
        <x:v>api/internal/subscriber/mailer.go; api/internal/subscriber/mailer_test.go</x:v>
      </x:c>
      <x:c r="E30" s="14" t="str">
        <x:v>Post-quiz confirmation email</x:v>
      </x:c>
      <x:c r="F30" s="14" t="str">
        <x:v>Quiz participant awaiting email</x:v>
      </x:c>
      <x:c r="G30" s="14" t="str">
        <x:v>As a quiz participant, I want the first email to explain what I requested and what confirming means, so that I can make an informed choice before joining the launch list.</x:v>
      </x:c>
      <x:c r="H30" s="14" t="str">
        <x:v>The confirmation email states that the user requested a reflection, that the review page requires a deliberate confirmation, that confirmation sends the reflection and joins the occasional launch list, that unsubscribing is always available, and that the link expires in 48 hours. HTML and plain-text versions carry the same meaning.</x:v>
      </x:c>
      <x:c r="I30" s="14" t="str">
        <x:v>PASS — Implemented explicit request context, dual-purpose confirmation disclosure, scanner-safe review wording, 48-hour expiry, unsubscribe control, fallback URL, preheader, and matching text body. Revalidated by current automated, browser, production, and security gates.</x:v>
      </x:c>
      <x:c r="J30" s="14" t="str">
        <x:v>Verified</x:v>
      </x:c>
      <x:c r="K30" s="14" t="str">
        <x:v>Automated Test + Code Review</x:v>
      </x:c>
      <x:c r="L30" s="14" t="str">
        <x:v>Capture the Resend payload from SendConfirmation; assert subject, HTML, and text explicitly describe the requested reflection, scanner-safe review step, launch-list consent, unsubscribe control, 48-hour expiry, and visible fallback URL.</x:v>
      </x:c>
      <x:c r="M30" s="14" t="str">
        <x:v>PASS — Implemented explicit request context, dual-purpose confirmation disclosure, scanner-safe review wording, 48-hour expiry, unsubscribe control, fallback URL, preheader, and matching text body.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30" s="14" t="str"/>
      <x:c r="O30" s="14" t="str">
        <x:v>None</x:v>
      </x:c>
      <x:c r="P30" s="14" t="str">
        <x:v>No</x:v>
      </x:c>
      <x:c r="Q30" s="14" t="str">
        <x:v>Implemented explicit request context, dual-purpose confirmation disclosure, scanner-safe review wording, 48-hour expiry, unsubscribe control, fallback URL, preheader, and matching text body.</x:v>
      </x:c>
      <x:c r="R30" s="14" t="str">
        <x:v>api/internal/subscriber/mailer.go; api/internal/subscriber/mailer_test.go</x:v>
      </x:c>
      <x:c r="S30" s="14" t="str">
        <x:v>4d835111b8ee24560deabafe60efc8499dc105ec</x:v>
      </x:c>
      <x:c r="T30" s="14" t="str">
        <x:v>Run the same payload test after the tracker-backed fix; inspect both MIME alternatives for semantic parity and escaped links.</x:v>
      </x:c>
      <x:c r="U30" s="14" t="str">
        <x:v>PASS — Implemented explicit request context, dual-purpose confirmation disclosure, scanner-safe review wording, 48-hour expiry, unsubscribe control, fallback URL, preheader, and matching text body. Revalidated by current automated, browser, production, and security gates.</x:v>
      </x:c>
      <x:c r="V30" s="14" t="str">
        <x:v>Verified</x:v>
      </x:c>
      <x:c r="W30" s="14" t="str">
        <x:v>No</x:v>
      </x:c>
      <x:c r="X30" s="14" t="str">
        <x:v>Audit scope is the email experience after the optional post-result signup. Baseline evidence: qa_evidence/email-audit/baseline-tests.txt. Final audit report: feature_qa_report.html. Prior evidence retained; included in 2026-08-29 full-site regression pass.</x:v>
      </x:c>
      <x:c r="Y30" s="14" t="str">
        <x:v>Audit what users receive by email after the quiz, suggest improvements, and implement them so the website can build an audience before App Store release.</x:v>
      </x:c>
    </x:row>
    <x:row r="31">
      <x:c r="A31" s="14" t="str">
        <x:v>EM-002</x:v>
      </x:c>
      <x:c r="B31" s="14" t="str">
        <x:v>Reflection email value parity</x:v>
      </x:c>
      <x:c r="C31" s="14" t="str">
        <x:v>Subscriber email and scoring</x:v>
      </x:c>
      <x:c r="D31" s="14" t="str">
        <x:v>api/internal/subscriber/model.go; api/internal/subscriber/mailer.go; web/lib/quiz-core.js; api/internal/subscriber/model_test.go; api/internal/subscriber/mailer_test.go</x:v>
      </x:c>
      <x:c r="E31" s="14" t="str">
        <x:v>Confirmed reflection email</x:v>
      </x:c>
      <x:c r="F31" s="14" t="str">
        <x:v>Confirmed subscriber</x:v>
      </x:c>
      <x:c r="G31" s="14" t="str">
        <x:v>As a confirmed subscriber, I want the emailed reflection to preserve the useful meaning I saw after the quiz, so that the message is worth keeping and acting on.</x:v>
      </x:c>
      <x:c r="H31" s="14" t="str">
        <x:v>The email includes the primary pattern name, plain-language domain, concise interpretation, observed count out of 12, one practical prompt, and the same non-diagnostic boundary as the browser result.</x:v>
      </x:c>
      <x:c r="I31" s="14" t="str">
        <x:v>PASS — Added canonical plain-language domains and reflection copy, stored evidence counts, result-bearing subject, primary interpretation, observed frequency, and practical prompt in HTML and text. Revalidated by current automated, browser, production, and security gates.</x:v>
      </x:c>
      <x:c r="J31" s="14" t="str">
        <x:v>Verified</x:v>
      </x:c>
      <x:c r="K31" s="14" t="str">
        <x:v>Automated Test + Cross-surface Review</x:v>
      </x:c>
      <x:c r="L31" s="14" t="str">
        <x:v>Score a known 12-answer set; capture SendReflection; compare primary domain, summary, count, practical prompt, and boundary against the canonical browser copy contract.</x:v>
      </x:c>
      <x:c r="M31" s="14" t="str">
        <x:v>PASS — Added canonical plain-language domains and reflection copy, stored evidence counts, result-bearing subject, primary interpretation, observed frequency, and practical prompt in HTML and text.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31" s="14" t="str"/>
      <x:c r="O31" s="14" t="str">
        <x:v>None</x:v>
      </x:c>
      <x:c r="P31" s="14" t="str">
        <x:v>No</x:v>
      </x:c>
      <x:c r="Q31" s="14" t="str">
        <x:v>Added canonical plain-language domains and reflection copy, stored evidence counts, result-bearing subject, primary interpretation, observed frequency, and practical prompt in HTML and text.</x:v>
      </x:c>
      <x:c r="R31" s="14" t="str">
        <x:v>api/internal/subscriber/model.go; api/internal/subscriber/model_test.go; api/internal/subscriber/mailer.go; api/internal/subscriber/mailer_test.go; api/internal/subscriber/service_test.go</x:v>
      </x:c>
      <x:c r="S31" s="14" t="str">
        <x:v>4d835111b8ee24560deabafe60efc8499dc105ec</x:v>
      </x:c>
      <x:c r="T31" s="14" t="str">
        <x:v>Run model and mailer parity tests; inspect rendered HTML text and plain-text payload for all required content.</x:v>
      </x:c>
      <x:c r="U31" s="14" t="str">
        <x:v>PASS — Added canonical plain-language domains and reflection copy, stored evidence counts, result-bearing subject, primary interpretation, observed frequency, and practical prompt in HTML and text. Revalidated by current automated, browser, production, and security gates.</x:v>
      </x:c>
      <x:c r="V31" s="14" t="str">
        <x:v>Verified</x:v>
      </x:c>
      <x:c r="W31" s="14" t="str">
        <x:v>No</x:v>
      </x:c>
      <x:c r="X31" s="14" t="str">
        <x:v>The backend remains authoritative and stores only the compact scored result, not individual answers. Baseline evidence: qa_evidence/email-audit/baseline-tests.txt. Final audit report: feature_qa_report.html. Prior evidence retained; included in 2026-08-29 full-site regression pass.</x:v>
      </x:c>
      <x:c r="Y31" s="14" t="str">
        <x:v>Audit what users receive by email after the quiz, suggest improvements, and implement them so the website can build an audience before App Store release.</x:v>
      </x:c>
    </x:row>
    <x:row r="32">
      <x:c r="A32" s="14" t="str">
        <x:v>EM-003</x:v>
      </x:c>
      <x:c r="B32" s="14" t="str">
        <x:v>Supporting-pattern evidence honesty</x:v>
      </x:c>
      <x:c r="C32" s="14" t="str">
        <x:v>Subscriber scoring and email</x:v>
      </x:c>
      <x:c r="D32" s="14" t="str">
        <x:v>api/internal/subscriber/model.go; api/internal/subscriber/model_test.go; api/internal/subscriber/mailer.go; api/internal/subscriber/mailer_test.go</x:v>
      </x:c>
      <x:c r="E32" s="14" t="str">
        <x:v>Confirmed reflection email supporting section</x:v>
      </x:c>
      <x:c r="F32" s="14" t="str">
        <x:v>Confirmed subscriber</x:v>
      </x:c>
      <x:c r="G32" s="14" t="str">
        <x:v>As a confirmed subscriber, I want a supporting pattern shown only when my choices support it, so that the email does not invent a second result.</x:v>
      </x:c>
      <x:c r="H32" s="14" t="str">
        <x:v>A nonzero supporting pattern includes its name, plain-language summary, and observed count; when all 12 answers select one pattern, no zero-count supporting archetype is assigned or presented.</x:v>
      </x:c>
      <x:c r="I32" s="14" t="str">
        <x:v>PASS — Score now records deterministic counts and assigns a supporting pattern only when its count is greater than zero; email rendering enforces the same condition. Revalidated by current automated, browser, production, and security gates.</x:v>
      </x:c>
      <x:c r="J32" s="14" t="str">
        <x:v>Verified</x:v>
      </x:c>
      <x:c r="K32" s="14" t="str">
        <x:v>Automated Test</x:v>
      </x:c>
      <x:c r="L32" s="14" t="str">
        <x:v>Score twelve identical answers and assert there is no supporting pattern; score a split answer set and assert the supporting code and count are deterministic; capture both reflection emails and verify conditional rendering.</x:v>
      </x:c>
      <x:c r="M32" s="14" t="str">
        <x:v>PASS — Score now records deterministic counts and assigns a supporting pattern only when its count is greater than zero; email rendering enforces the same condition.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32" s="14" t="str"/>
      <x:c r="O32" s="14" t="str">
        <x:v>None</x:v>
      </x:c>
      <x:c r="P32" s="14" t="str">
        <x:v>No</x:v>
      </x:c>
      <x:c r="Q32" s="14" t="str">
        <x:v>Score now records deterministic counts and assigns a supporting pattern only when its count is greater than zero; email rendering enforces the same condition.</x:v>
      </x:c>
      <x:c r="R32" s="14" t="str">
        <x:v>api/internal/subscriber/model.go; api/internal/subscriber/model_test.go; api/internal/subscriber/mailer.go; api/internal/subscriber/mailer_test.go; api/internal/subscriber/service_test.go</x:v>
      </x:c>
      <x:c r="S32" s="14" t="str">
        <x:v>4d835111b8ee24560deabafe60efc8499dc105ec</x:v>
      </x:c>
      <x:c r="T32" s="14" t="str">
        <x:v>Rerun zero-support and nonzero-support scoring and email payload tests after the fix.</x:v>
      </x:c>
      <x:c r="U32" s="14" t="str">
        <x:v>PASS — Score now records deterministic counts and assigns a supporting pattern only when its count is greater than zero; email rendering enforces the same condition. Revalidated by current automated, browser, production, and security gates.</x:v>
      </x:c>
      <x:c r="V32" s="14" t="str">
        <x:v>Verified</x:v>
      </x:c>
      <x:c r="W32" s="14" t="str">
        <x:v>No</x:v>
      </x:c>
      <x:c r="X32" s="14" t="str">
        <x:v>Aligns the email with the browser’s existing supportingPattern zero-count safeguard. Baseline evidence: qa_evidence/email-audit/baseline-tests.txt. Final audit report: feature_qa_report.html. Prior evidence retained; included in 2026-08-29 full-site regression pass.</x:v>
      </x:c>
      <x:c r="Y32" s="14" t="str">
        <x:v>Audit what users receive by email after the quiz, suggest improvements, and implement them so the website can build an audience before App Store release.</x:v>
      </x:c>
    </x:row>
    <x:row r="33">
      <x:c r="A33" s="14" t="str">
        <x:v>EM-004</x:v>
      </x:c>
      <x:c r="B33" s="14" t="str">
        <x:v>Accessible and resilient email rendering</x:v>
      </x:c>
      <x:c r="C33" s="14" t="str">
        <x:v>Subscriber email</x:v>
      </x:c>
      <x:c r="D33" s="14" t="str">
        <x:v>api/internal/subscriber/mailer.go; api/internal/subscriber/mailer_test.go</x:v>
      </x:c>
      <x:c r="E33" s="14" t="str">
        <x:v>Confirmation and reflection emails</x:v>
      </x:c>
      <x:c r="F33" s="14" t="str">
        <x:v>Mobile, assistive-technology, or plain-text email user</x:v>
      </x:c>
      <x:c r="G33" s="14" t="str">
        <x:v>As a subscriber using any common email client or assistive technology, I want a readable message and usable links, so that I can complete the flow without relying on rich HTML.</x:v>
      </x:c>
      <x:c r="H33" s="14" t="str">
        <x:v>Each email provides semantic, mobile-friendly inline-styled HTML; hidden preheader text; descriptive link labels; a visible copyable fallback URL where action is required; escaped dynamic values; and a complete plain-text alternative.</x:v>
      </x:c>
      <x:c r="I33" s="14" t="str">
        <x:v>PASS — Added complete plain-text bodies, hidden preheaders, semantic table-based email layout, inline styles, descriptive action labels, fallback URL, escaping, and no remote images. Revalidated by current automated, browser, production, and security gates.</x:v>
      </x:c>
      <x:c r="J33" s="14" t="str">
        <x:v>Verified</x:v>
      </x:c>
      <x:c r="K33" s="14" t="str">
        <x:v>Automated Test + Accessibility Review</x:v>
      </x:c>
      <x:c r="L33" s="14" t="str">
        <x:v>Capture both Resend payloads; assert html and text parts exist; verify preheader, heading hierarchy, descriptive links, fallback URL, no external tracking image, and escaping of dynamic values.</x:v>
      </x:c>
      <x:c r="M33" s="14" t="str">
        <x:v>PASS — Added complete plain-text bodies, hidden preheaders, semantic table-based email layout, inline styles, descriptive action labels, fallback URL, escaping, and no remote images.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33" s="14" t="str"/>
      <x:c r="O33" s="14" t="str">
        <x:v>None</x:v>
      </x:c>
      <x:c r="P33" s="14" t="str">
        <x:v>No</x:v>
      </x:c>
      <x:c r="Q33" s="14" t="str">
        <x:v>Added complete plain-text bodies, hidden preheaders, semantic table-based email layout, inline styles, descriptive action labels, fallback URL, escaping, and no remote images.</x:v>
      </x:c>
      <x:c r="R33" s="14" t="str">
        <x:v>api/internal/subscriber/mailer.go; api/internal/subscriber/mailer_test.go</x:v>
      </x:c>
      <x:c r="S33" s="14" t="str">
        <x:v>4d835111b8ee24560deabafe60efc8499dc105ec</x:v>
      </x:c>
      <x:c r="T33" s="14" t="str">
        <x:v>Rerun payload tests and inspect generated HTML for semantic structure, inline styles, mobile width, and no unescaped dynamic content.</x:v>
      </x:c>
      <x:c r="U33" s="14" t="str">
        <x:v>PASS — Added complete plain-text bodies, hidden preheaders, semantic table-based email layout, inline styles, descriptive action labels, fallback URL, escaping, and no remote images. Revalidated by current automated, browser, production, and security gates.</x:v>
      </x:c>
      <x:c r="V33" s="14" t="str">
        <x:v>Verified</x:v>
      </x:c>
      <x:c r="W33" s="14" t="str">
        <x:v>No</x:v>
      </x:c>
      <x:c r="X33" s="14" t="str">
        <x:v>No tracking pixels or remote images should be added. Baseline evidence: qa_evidence/email-audit/baseline-tests.txt. Final audit report: feature_qa_report.html. Prior evidence retained; included in 2026-08-29 full-site regression pass.</x:v>
      </x:c>
      <x:c r="Y33" s="14" t="str">
        <x:v>Audit what users receive by email after the quiz, suggest improvements, and implement them so the website can build an audience before App Store release.</x:v>
      </x:c>
    </x:row>
    <x:row r="34">
      <x:c r="A34" s="14" t="str">
        <x:v>EM-005</x:v>
      </x:c>
      <x:c r="B34" s="14" t="str">
        <x:v>Launch-list relationship after delivery</x:v>
      </x:c>
      <x:c r="C34" s="14" t="str">
        <x:v>Subscriber email</x:v>
      </x:c>
      <x:c r="D34" s="14" t="str">
        <x:v>api/internal/subscriber/mailer.go; api/internal/subscriber/mailer_test.go</x:v>
      </x:c>
      <x:c r="E34" s="14" t="str">
        <x:v>Confirmed reflection email footer</x:v>
      </x:c>
      <x:c r="F34" s="14" t="str">
        <x:v>Confirmed launch-list subscriber</x:v>
      </x:c>
      <x:c r="G34" s="14" t="str">
        <x:v>As a launch-list subscriber, I want the delivered reflection to explain the ongoing relationship and my control, so that later product updates are expected rather than surprising.</x:v>
      </x:c>
      <x:c r="H34" s="14" t="str">
        <x:v>The reflection email states that confirmation placed the user on the MIRROR//LOOP launch list for occasional App Store release and product updates, provides a working unsubscribe action, and names a monitored Reply-To route for help.</x:v>
      </x:c>
      <x:c r="I34" s="14" t="str">
        <x:v>PASS — Reflection delivery now explains occasional App Store release and product updates, states that it is not a daily newsletter, preserves unsubscribe, and invites replies through configured Reply-To. Revalidated by current automated, browser, production, and security gates.</x:v>
      </x:c>
      <x:c r="J34" s="14" t="str">
        <x:v>Verified</x:v>
      </x:c>
      <x:c r="K34" s="14" t="str">
        <x:v>Automated Test + Content Review</x:v>
      </x:c>
      <x:c r="L34" s="14" t="str">
        <x:v>Capture the confirmed reflection payload; assert launch-list purpose, expected low-frequency update category, unsubscribe control, and configured Reply-To metadata are present without marketing overclaim.</x:v>
      </x:c>
      <x:c r="M34" s="14" t="str">
        <x:v>PASS — Reflection delivery now explains occasional App Store release and product updates, states that it is not a daily newsletter, preserves unsubscribe, and invites replies through configured Reply-To. Revalidated by current automated, browser, production, and security gates. Evidence: qa_evidence/feature-audit-2026-08-29/commands/node-gates.txt; qa_evidence/feature-audit-2026-08-29/commands/go-gates.txt; qa_evidence/feature-audit-2026-08-29/browser/local-browser-audit.json; qa_evidence/feature-audit-2026-08-29/commands/production-audit.txt; qa_evidence/feature-audit-2026-08-29/commands/content-security-gates.txt.</x:v>
      </x:c>
      <x:c r="N34" s="14" t="str"/>
      <x:c r="O34" s="14" t="str">
        <x:v>None</x:v>
      </x:c>
      <x:c r="P34" s="14" t="str">
        <x:v>No</x:v>
      </x:c>
      <x:c r="Q34" s="14" t="str">
        <x:v>Reflection delivery now explains occasional App Store release and product updates, states that it is not a daily newsletter, preserves unsubscribe, and invites replies through configured Reply-To.</x:v>
      </x:c>
      <x:c r="R34" s="14" t="str">
        <x:v>api/internal/subscriber/mailer.go; api/internal/subscriber/mailer_test.go</x:v>
      </x:c>
      <x:c r="S34" s="14" t="str">
        <x:v>4d835111b8ee24560deabafe60efc8499dc105ec</x:v>
      </x:c>
      <x:c r="T34" s="14" t="str">
        <x:v>Run reflection payload and Reply-To regression tests after the tracker-backed fix.</x:v>
      </x:c>
      <x:c r="U34" s="14" t="str">
        <x:v>PASS — Reflection delivery now explains occasional App Store release and product updates, states that it is not a daily newsletter, preserves unsubscribe, and invites replies through configured Reply-To. Revalidated by current automated, browser, production, and security gates.</x:v>
      </x:c>
      <x:c r="V34" s="14" t="str">
        <x:v>Verified</x:v>
      </x:c>
      <x:c r="W34" s="14" t="str">
        <x:v>No</x:v>
      </x:c>
      <x:c r="X34" s="14" t="str">
        <x:v>The existing consent copy already authorizes the reflection and occasional MIRROR//LOOP updates. Baseline evidence: qa_evidence/email-audit/baseline-tests.txt. Final audit report: feature_qa_report.html. Prior evidence retained; included in 2026-08-29 full-site regression pass.</x:v>
      </x:c>
      <x:c r="Y34" s="14" t="str">
        <x:v>Audit what users receive by email after the quiz, suggest improvements, and implement them so the website can build an audience before App Store release.</x:v>
      </x:c>
    </x:row>
    <x:row r="35">
      <x:c r="A35" s="14" t="str">
        <x:v>ST-001</x:v>
      </x:c>
      <x:c r="B35" s="14" t="str">
        <x:v>Storefront orientation</x:v>
      </x:c>
      <x:c r="C35" s="14" t="str">
        <x:v>Storefront</x:v>
      </x:c>
      <x:c r="D35" s="14" t="str">
        <x:v>web/shop.html; web/shop.js; web/styles.css</x:v>
      </x:c>
      <x:c r="E35" s="14" t="str">
        <x:v>/shop</x:v>
      </x:c>
      <x:c r="F35" s="14" t="str">
        <x:v>Prospective buyer</x:v>
      </x:c>
      <x:c r="G35" s="14" t="str">
        <x:v>As a prospective buyer, I want to understand the available digital card editions immediately, so that I can choose the right collection confidently.</x:v>
      </x:c>
      <x:c r="H35" s="14" t="str">
        <x:v>The first viewport clearly states digital fulfillment, ARC versus complete-deck choices, edition differences, and secure checkout without unsupported physical-product claims.</x:v>
      </x:c>
      <x:c r="I35" s="14" t="str">
        <x:v>PASS — desktop/mobile storefront copy identifies digital editions, ARC/complete choices, and secure Stripe checkout without physical claims.</x:v>
      </x:c>
      <x:c r="J35" s="14" t="str">
        <x:v>Verified</x:v>
      </x:c>
      <x:c r="K35" s="14" t="str">
        <x:v>Browser + responsive</x:v>
      </x:c>
      <x:c r="L35" s="14" t="str">
        <x:v>Open /shop at desktop and mobile widths; inspect heading, product promise, fulfillment statement, and first actionable products.</x:v>
      </x:c>
      <x:c r="M35" s="14" t="str">
        <x:v>PASS — desktop/mobile storefront copy identifies digital editions, ARC/complete choices, and secure Stripe checkout without physical claims. Evidence: qa_evidence/feature-audit-2026-08-29/browser/local-browser-audit.json; qa_evidence/feature-audit-2026-08-29/commands/node-gates.txt.</x:v>
      </x:c>
      <x:c r="N35" s="14" t="str"/>
      <x:c r="O35" s="14" t="str">
        <x:v>None</x:v>
      </x:c>
      <x:c r="P35" s="14" t="str">
        <x:v>No</x:v>
      </x:c>
      <x:c r="Q35" s="14" t="str">
        <x:v>No change required.</x:v>
      </x:c>
      <x:c r="R35" s="14" t="str"/>
      <x:c r="S35" s="14" t="str"/>
      <x:c r="T35" s="14" t="str">
        <x:v>Repeat the initial steps after any tracker-backed change and run adjacent regression tests.</x:v>
      </x:c>
      <x:c r="U35" s="14" t="str">
        <x:v>PASS — desktop/mobile storefront copy identifies digital editions, ARC/complete choices, and secure Stripe checkout without physical claims.</x:v>
      </x:c>
      <x:c r="V35" s="14" t="str">
        <x:v>Verified</x:v>
      </x:c>
      <x:c r="W35" s="14" t="str">
        <x:v>No</x:v>
      </x:c>
      <x:c r="X35" s="14" t="str"/>
      <x:c r="Y35" s="14" t="str">
        <x:v>Feature audit: make mirrorloopai.com a first-class WebMCP experience that brings paying users and competes strongly, while preserving explicit human purchase control.</x:v>
      </x:c>
    </x:row>
    <x:row r="36">
      <x:c r="A36" s="14" t="str">
        <x:v>ST-002</x:v>
      </x:c>
      <x:c r="B36" s="14" t="str">
        <x:v>Complete product catalog</x:v>
      </x:c>
      <x:c r="C36" s="14" t="str">
        <x:v>Storefront</x:v>
      </x:c>
      <x:c r="D36" s="14" t="str">
        <x:v>web/data/shop.json; web/shop.js</x:v>
      </x:c>
      <x:c r="E36" s="14" t="str">
        <x:v>/shop#collections; /shop#arcs</x:v>
      </x:c>
      <x:c r="F36" s="14" t="str">
        <x:v>Prospective buyer</x:v>
      </x:c>
      <x:c r="G36" s="14" t="str">
        <x:v>As a buyer, I want to browse every ARC and complete edition, so that I can buy the exact material I want.</x:v>
      </x:c>
      <x:c r="H36" s="14" t="str">
        <x:v>The catalog renders 24 ARC products and four complete products with unique SKU, title, edition, description, and image; no public prices or Stripe IDs appear.</x:v>
      </x:c>
      <x:c r="I36" s="14" t="str">
        <x:v>PASS — 28 products render (24 ARC + 4 complete), all images exist, and public catalog exposes no price or Stripe ID.</x:v>
      </x:c>
      <x:c r="J36" s="14" t="str">
        <x:v>Verified</x:v>
      </x:c>
      <x:c r="K36" s="14" t="str">
        <x:v>Automated + browser</x:v>
      </x:c>
      <x:c r="L36" s="14" t="str">
        <x:v>Validate all 28 catalog entries and images; load /shop and count rendered collection and ARC cards; scan public payload for prices and Stripe identifiers.</x:v>
      </x:c>
      <x:c r="M36" s="14" t="str">
        <x:v>PASS — 28 products render (24 ARC + 4 complete), all images exist, and public catalog exposes no price or Stripe ID. Evidence: qa_evidence/feature-audit-2026-08-29/browser/local-browser-audit.json; qa_evidence/feature-audit-2026-08-29/commands/node-gates.txt.</x:v>
      </x:c>
      <x:c r="N36" s="14" t="str"/>
      <x:c r="O36" s="14" t="str">
        <x:v>None</x:v>
      </x:c>
      <x:c r="P36" s="14" t="str">
        <x:v>No</x:v>
      </x:c>
      <x:c r="Q36" s="14" t="str">
        <x:v>No change required.</x:v>
      </x:c>
      <x:c r="R36" s="14" t="str"/>
      <x:c r="S36" s="14" t="str"/>
      <x:c r="T36" s="14" t="str">
        <x:v>Repeat the initial steps after any tracker-backed change and run adjacent regression tests.</x:v>
      </x:c>
      <x:c r="U36" s="14" t="str">
        <x:v>PASS — 28 products render (24 ARC + 4 complete), all images exist, and public catalog exposes no price or Stripe ID.</x:v>
      </x:c>
      <x:c r="V36" s="14" t="str">
        <x:v>Verified</x:v>
      </x:c>
      <x:c r="W36" s="14" t="str">
        <x:v>No</x:v>
      </x:c>
      <x:c r="X36" s="14" t="str"/>
      <x:c r="Y36" s="14" t="str">
        <x:v>Feature audit: make mirrorloopai.com a first-class WebMCP experience that brings paying users and competes strongly, while preserving explicit human purchase control.</x:v>
      </x:c>
    </x:row>
    <x:row r="37">
      <x:c r="A37" s="14" t="str">
        <x:v>ST-003</x:v>
      </x:c>
      <x:c r="B37" s="14" t="str">
        <x:v>Edition filtering</x:v>
      </x:c>
      <x:c r="C37" s="14" t="str">
        <x:v>Storefront</x:v>
      </x:c>
      <x:c r="D37" s="14" t="str">
        <x:v>web/shop.html; web/shop.js</x:v>
      </x:c>
      <x:c r="E37" s="14" t="str">
        <x:v>/shop#arcs edition filters</x:v>
      </x:c>
      <x:c r="F37" s="14" t="str">
        <x:v>Buyer comparing styles</x:v>
      </x:c>
      <x:c r="G37" s="14" t="str">
        <x:v>As a buyer comparing styles, I want to filter ARC products by Mono or Full Color, so that I can focus on my preferred visual treatment.</x:v>
      </x:c>
      <x:c r="H37" s="14" t="str">
        <x:v>All, Mono, and Full Color controls expose selected state and render 24, 12, and 12 ARC products respectively without hiding complete collections.</x:v>
      </x:c>
      <x:c r="I37" s="14" t="str">
        <x:v>PASS — All/Mono/Full Color filters render 24/12/12 ARC cards with aria-pressed=true on the active control.</x:v>
      </x:c>
      <x:c r="J37" s="14" t="str">
        <x:v>Verified</x:v>
      </x:c>
      <x:c r="K37" s="14" t="str">
        <x:v>Browser interaction</x:v>
      </x:c>
      <x:c r="L37" s="14" t="str">
        <x:v>Activate each filter with mouse and keyboard; verify aria-pressed state and visible ARC/collection counts.</x:v>
      </x:c>
      <x:c r="M37" s="14" t="str">
        <x:v>PASS — All/Mono/Full Color filters render 24/12/12 ARC cards with aria-pressed=true on the active control. Evidence: qa_evidence/feature-audit-2026-08-29/browser/local-browser-audit.json; qa_evidence/feature-audit-2026-08-29/commands/node-gates.txt.</x:v>
      </x:c>
      <x:c r="N37" s="14" t="str"/>
      <x:c r="O37" s="14" t="str">
        <x:v>None</x:v>
      </x:c>
      <x:c r="P37" s="14" t="str">
        <x:v>No</x:v>
      </x:c>
      <x:c r="Q37" s="14" t="str">
        <x:v>No change required.</x:v>
      </x:c>
      <x:c r="R37" s="14" t="str"/>
      <x:c r="S37" s="14" t="str"/>
      <x:c r="T37" s="14" t="str">
        <x:v>Repeat the initial steps after any tracker-backed change and run adjacent regression tests.</x:v>
      </x:c>
      <x:c r="U37" s="14" t="str">
        <x:v>PASS — All/Mono/Full Color filters render 24/12/12 ARC cards with aria-pressed=true on the active control.</x:v>
      </x:c>
      <x:c r="V37" s="14" t="str">
        <x:v>Verified</x:v>
      </x:c>
      <x:c r="W37" s="14" t="str">
        <x:v>No</x:v>
      </x:c>
      <x:c r="X37" s="14" t="str"/>
      <x:c r="Y37" s="14" t="str">
        <x:v>Feature audit: make mirrorloopai.com a first-class WebMCP experience that brings paying users and competes strongly, while preserving explicit human purchase control.</x:v>
      </x:c>
    </x:row>
    <x:row r="38">
      <x:c r="A38" s="14" t="str">
        <x:v>ST-004</x:v>
      </x:c>
      <x:c r="B38" s="14" t="str">
        <x:v>Cart add remove and review</x:v>
      </x:c>
      <x:c r="C38" s="14" t="str">
        <x:v>Cart</x:v>
      </x:c>
      <x:c r="D38" s="14" t="str">
        <x:v>web/shop.js; web/shop.html</x:v>
      </x:c>
      <x:c r="E38" s="14" t="str">
        <x:v>/shop cart controls</x:v>
      </x:c>
      <x:c r="F38" s="14" t="str">
        <x:v>Buyer</x:v>
      </x:c>
      <x:c r="G38" s="14" t="str">
        <x:v>As a buyer, I want to add, remove, and review editions before checkout, so that I remain in control of my order.</x:v>
      </x:c>
      <x:c r="H38" s="14" t="str">
        <x:v>Product buttons toggle selection; cart count and rows match unique selected SKUs; remove and close controls work; no duplicate line is possible.</x:v>
      </x:c>
      <x:c r="I38" s="14" t="str">
        <x:v>PASS — two distinct products produce cart count 2 and two review rows; removal/close behavior is implemented and browser tested.</x:v>
      </x:c>
      <x:c r="J38" s="14" t="str">
        <x:v>Verified</x:v>
      </x:c>
      <x:c r="K38" s="14" t="str">
        <x:v>Browser interaction</x:v>
      </x:c>
      <x:c r="L38" s="14" t="str">
        <x:v>Add ARC and complete editions; open cart; verify count and rows; remove each item; close with button, backdrop, and Escape.</x:v>
      </x:c>
      <x:c r="M38" s="14" t="str">
        <x:v>PASS — two distinct products produce cart count 2 and two review rows; removal/close behavior is implemented and browser tested. Evidence: qa_evidence/feature-audit-2026-08-29/browser/local-browser-audit.json; qa_evidence/feature-audit-2026-08-29/commands/node-gates.txt.</x:v>
      </x:c>
      <x:c r="N38" s="14" t="str"/>
      <x:c r="O38" s="14" t="str">
        <x:v>None</x:v>
      </x:c>
      <x:c r="P38" s="14" t="str">
        <x:v>No</x:v>
      </x:c>
      <x:c r="Q38" s="14" t="str">
        <x:v>No change required.</x:v>
      </x:c>
      <x:c r="R38" s="14" t="str"/>
      <x:c r="S38" s="14" t="str"/>
      <x:c r="T38" s="14" t="str">
        <x:v>Repeat the initial steps after any tracker-backed change and run adjacent regression tests.</x:v>
      </x:c>
      <x:c r="U38" s="14" t="str">
        <x:v>PASS — two distinct products produce cart count 2 and two review rows; removal/close behavior is implemented and browser tested.</x:v>
      </x:c>
      <x:c r="V38" s="14" t="str">
        <x:v>Verified</x:v>
      </x:c>
      <x:c r="W38" s="14" t="str">
        <x:v>No</x:v>
      </x:c>
      <x:c r="X38" s="14" t="str"/>
      <x:c r="Y38" s="14" t="str">
        <x:v>Feature audit: make mirrorloopai.com a first-class WebMCP experience that brings paying users and competes strongly, while preserving explicit human purchase control.</x:v>
      </x:c>
    </x:row>
    <x:row r="39">
      <x:c r="A39" s="14" t="str">
        <x:v>ST-005</x:v>
      </x:c>
      <x:c r="B39" s="14" t="str">
        <x:v>Cart persistence and recovery</x:v>
      </x:c>
      <x:c r="C39" s="14" t="str">
        <x:v>Cart</x:v>
      </x:c>
      <x:c r="D39" s="14" t="str">
        <x:v>web/shop.js</x:v>
      </x:c>
      <x:c r="E39" s="14" t="str">
        <x:v>/shop local cart</x:v>
      </x:c>
      <x:c r="F39" s="14" t="str">
        <x:v>Returning buyer</x:v>
      </x:c>
      <x:c r="G39" s="14" t="str">
        <x:v>As a returning buyer, I want my unfinished cart to survive a reload, so that I can continue without rebuilding it.</x:v>
      </x:c>
      <x:c r="H39" s="14" t="str">
        <x:v>Valid selected SKUs persist locally, unavailable entries are discarded, and storage denial leaves the current page usable.</x:v>
      </x:c>
      <x:c r="I39" s="14" t="str">
        <x:v>PASS — two valid SKUs restore after reload; storage fallback is guarded in code.</x:v>
      </x:c>
      <x:c r="J39" s="14" t="str">
        <x:v>Verified</x:v>
      </x:c>
      <x:c r="K39" s="14" t="str">
        <x:v>Browser + automated</x:v>
      </x:c>
      <x:c r="L39" s="14" t="str">
        <x:v>Add two items, reload, verify restoration; inject unknown SKU and reload; simulate unavailable storage and verify cart still works in memory.</x:v>
      </x:c>
      <x:c r="M39" s="14" t="str">
        <x:v>PASS — two valid SKUs restore after reload; storage fallback is guarded in code. Evidence: qa_evidence/feature-audit-2026-08-29/browser/local-browser-audit.json; qa_evidence/feature-audit-2026-08-29/commands/node-gates.txt.</x:v>
      </x:c>
      <x:c r="N39" s="14" t="str"/>
      <x:c r="O39" s="14" t="str">
        <x:v>None</x:v>
      </x:c>
      <x:c r="P39" s="14" t="str">
        <x:v>No</x:v>
      </x:c>
      <x:c r="Q39" s="14" t="str">
        <x:v>No change required.</x:v>
      </x:c>
      <x:c r="R39" s="14" t="str"/>
      <x:c r="S39" s="14" t="str"/>
      <x:c r="T39" s="14" t="str">
        <x:v>Repeat the initial steps after any tracker-backed change and run adjacent regression tests.</x:v>
      </x:c>
      <x:c r="U39" s="14" t="str">
        <x:v>PASS — two valid SKUs restore after reload; storage fallback is guarded in code.</x:v>
      </x:c>
      <x:c r="V39" s="14" t="str">
        <x:v>Verified</x:v>
      </x:c>
      <x:c r="W39" s="14" t="str">
        <x:v>No</x:v>
      </x:c>
      <x:c r="X39" s="14" t="str"/>
      <x:c r="Y39" s="14" t="str">
        <x:v>Feature audit: make mirrorloopai.com a first-class WebMCP experience that brings paying users and competes strongly, while preserving explicit human purchase control.</x:v>
      </x:c>
    </x:row>
    <x:row r="40">
      <x:c r="A40" s="14" t="str">
        <x:v>ST-006</x:v>
      </x:c>
      <x:c r="B40" s="14" t="str">
        <x:v>Secure hosted checkout handoff</x:v>
      </x:c>
      <x:c r="C40" s="14" t="str">
        <x:v>Checkout</x:v>
      </x:c>
      <x:c r="D40" s="14" t="str">
        <x:v>web/shop.js; api/internal/commerce/checkout.go; api/internal/commerce/catalog_gen.go</x:v>
      </x:c>
      <x:c r="E40" s="14" t="str">
        <x:v>POST /api/v1/checkout-sessions</x:v>
      </x:c>
      <x:c r="F40" s="14" t="str">
        <x:v>Ready-to-buy customer</x:v>
      </x:c>
      <x:c r="G40" s="14" t="str">
        <x:v>As a ready-to-buy customer, I want a secure hosted checkout showing authoritative prices, so that I can review and authorize payment safely.</x:v>
      </x:c>
      <x:c r="H40" s="14" t="str">
        <x:v>The browser sends only allowlisted SKUs; the server maps them to prices, creates a Stripe-hosted HTTPS session, rejects malformed or cross-origin carts, and never lets an agent initiate payment.</x:v>
      </x:c>
      <x:c r="I40" s="14" t="str">
        <x:v>PASS — adding a real catalog item enables the checkout action and the same-origin server returns an HTTPS checkout.stripe.com session without exposing secrets or initiating payment automatically.</x:v>
      </x:c>
      <x:c r="J40" s="14" t="str">
        <x:v>Fixed</x:v>
      </x:c>
      <x:c r="K40" s="14" t="str">
        <x:v>Automated integration + production smoke</x:v>
      </x:c>
      <x:c r="L40" s="14" t="str">
        <x:v>Test valid/invalid/duplicate/oversized carts and allowed origin; inspect Checkout URL validation; on production verify checkout availability without completing a charge.</x:v>
      </x:c>
      <x:c r="M40" s="14" t="str">
        <x:v>PASS — local cart activation and production checkout handoff verified without payment. Evidence: qa_evidence/feature-audit-2026-08-29/browser/local-browser-audit.json; qa_evidence/feature-audit-2026-08-29/commands/production-retest.txt.</x:v>
      </x:c>
      <x:c r="N40" s="14" t="str">
        <x:v>INITIAL FAILURE — Paying users cannot enter the already-operational Stripe Checkout flow from the storefront.</x:v>
      </x:c>
      <x:c r="O40" s="14" t="str">
        <x:v>Critical</x:v>
      </x:c>
      <x:c r="P40" s="14" t="str">
        <x:v>Yes</x:v>
      </x:c>
      <x:c r="Q40" s="14" t="str">
        <x:v>Enabled the audited storefront configuration while preserving server-owned SKU validation, same-origin enforcement, and Stripe-hosted payment.</x:v>
      </x:c>
      <x:c r="R40" s="14" t="str">
        <x:v>web/config.js; web/shop.js; web/tests/shop.test.mjs</x:v>
      </x:c>
      <x:c r="S40" s="14" t="str">
        <x:v>b1b5bc3</x:v>
      </x:c>
      <x:c r="T40" s="14" t="str">
        <x:v>Repeat the documented scenario on the deployed origin and rerun the targeted automated and browser regression gates.</x:v>
      </x:c>
      <x:c r="U40" s="14" t="str">
        <x:v>PASS — cart selection enables checkout; production API returns 201 with HTTPS checkout.stripe.com host. No payment was performed.</x:v>
      </x:c>
      <x:c r="V40" s="14" t="str">
        <x:v>Verified</x:v>
      </x:c>
      <x:c r="W40" s="14" t="str">
        <x:v>No</x:v>
      </x:c>
      <x:c r="X40" s="14" t="str">
        <x:v>The product owner authorized checkout activation; payment remains an explicit human action. Initial failed test retained: FAIL — The production checkout endpoint returns a valid checkout.stripe.com Session URL, but both local and production config set shopEnabled:false, leaving the public checkout button disabled. Evidence: qa_evidence/feature-audit-2026-08-29/commands/production-audit.txt.</x:v>
      </x:c>
      <x:c r="Y40" s="14" t="str">
        <x:v>Feature audit: make mirrorloopai.com a first-class WebMCP experience that brings paying users and competes strongly, while preserving explicit human purchase control.</x:v>
      </x:c>
    </x:row>
    <x:row r="41">
      <x:c r="A41" s="14" t="str">
        <x:v>ST-007</x:v>
      </x:c>
      <x:c r="B41" s="14" t="str">
        <x:v>Checkout return states</x:v>
      </x:c>
      <x:c r="C41" s="14" t="str">
        <x:v>Checkout</x:v>
      </x:c>
      <x:c r="D41" s="14" t="str">
        <x:v>web/shop.js</x:v>
      </x:c>
      <x:c r="E41" s="14" t="str">
        <x:v>/shop?checkout=success; /shop?checkout=cancelled</x:v>
      </x:c>
      <x:c r="F41" s="14" t="str">
        <x:v>Checkout customer</x:v>
      </x:c>
      <x:c r="G41" s="14" t="str">
        <x:v>As a customer returning from Stripe, I want a clear success or cancellation state, so that I know what happens next.</x:v>
      </x:c>
      <x:c r="H41" s="14" t="str">
        <x:v>Success clears the local cart and explains receipt/fulfillment; cancellation preserves the cart and explains that no purchase was completed.</x:v>
      </x:c>
      <x:c r="I41" s="14" t="str">
        <x:v>PASS — cancellation preserves count 2; success clears to 0; both open the cart with explanatory messages.</x:v>
      </x:c>
      <x:c r="J41" s="14" t="str">
        <x:v>Verified</x:v>
      </x:c>
      <x:c r="K41" s="14" t="str">
        <x:v>Browser interaction</x:v>
      </x:c>
      <x:c r="L41" s="14" t="str">
        <x:v>Seed cart; open success URL and verify clearing/message; repeat cancellation URL and verify preservation/message.</x:v>
      </x:c>
      <x:c r="M41" s="14" t="str">
        <x:v>PASS — cancellation preserves count 2; success clears to 0; both open the cart with explanatory messages. Evidence: qa_evidence/feature-audit-2026-08-29/browser/local-browser-audit.json; qa_evidence/feature-audit-2026-08-29/commands/node-gates.txt.</x:v>
      </x:c>
      <x:c r="N41" s="14" t="str"/>
      <x:c r="O41" s="14" t="str">
        <x:v>None</x:v>
      </x:c>
      <x:c r="P41" s="14" t="str">
        <x:v>No</x:v>
      </x:c>
      <x:c r="Q41" s="14" t="str">
        <x:v>No change required.</x:v>
      </x:c>
      <x:c r="R41" s="14" t="str"/>
      <x:c r="S41" s="14" t="str"/>
      <x:c r="T41" s="14" t="str">
        <x:v>Repeat the initial steps after any tracker-backed change and run adjacent regression tests.</x:v>
      </x:c>
      <x:c r="U41" s="14" t="str">
        <x:v>PASS — cancellation preserves count 2; success clears to 0; both open the cart with explanatory messages.</x:v>
      </x:c>
      <x:c r="V41" s="14" t="str">
        <x:v>Verified</x:v>
      </x:c>
      <x:c r="W41" s="14" t="str">
        <x:v>No</x:v>
      </x:c>
      <x:c r="X41" s="14" t="str"/>
      <x:c r="Y41" s="14" t="str">
        <x:v>Feature audit: make mirrorloopai.com a first-class WebMCP experience that brings paying users and competes strongly, while preserving explicit human purchase control.</x:v>
      </x:c>
    </x:row>
    <x:row r="42">
      <x:c r="A42" s="14" t="str">
        <x:v>ST-008</x:v>
      </x:c>
      <x:c r="B42" s="14" t="str">
        <x:v>Purchase terms and support</x:v>
      </x:c>
      <x:c r="C42" s="14" t="str">
        <x:v>Trust and support</x:v>
      </x:c>
      <x:c r="D42" s="14" t="str">
        <x:v>web/terms.html; web/shop.html</x:v>
      </x:c>
      <x:c r="E42" s="14" t="str">
        <x:v>/terms; /shop delivery note</x:v>
      </x:c>
      <x:c r="F42" s="14" t="str">
        <x:v>Buyer</x:v>
      </x:c>
      <x:c r="G42" s="14" t="str">
        <x:v>As a buyer, I want clear digital-delivery, license, refund, and support terms before payment, so that I understand the purchase.</x:v>
      </x:c>
      <x:c r="H42" s="14" t="str">
        <x:v>Terms accurately describe digital delivery, fulfillment timing, personal-use license, refund conditions, and a functioning support contact; shop links to them before checkout.</x:v>
      </x:c>
      <x:c r="I42" s="14" t="str">
        <x:v>PASS — digital delivery, 24-hour support, 14-day issue window, personal-use license, and support link are present.</x:v>
      </x:c>
      <x:c r="J42" s="14" t="str">
        <x:v>Verified</x:v>
      </x:c>
      <x:c r="K42" s="14" t="str">
        <x:v>Content + link review</x:v>
      </x:c>
      <x:c r="L42" s="14" t="str">
        <x:v>Open /terms and shop terms links; verify statements against catalog and fulfillment code; activate support mail link.</x:v>
      </x:c>
      <x:c r="M42" s="14" t="str">
        <x:v>PASS — digital delivery, 24-hour support, 14-day issue window, personal-use license, and support link are present. Evidence: qa_evidence/feature-audit-2026-08-29/browser/local-browser-audit.json; qa_evidence/feature-audit-2026-08-29/commands/node-gates.txt.</x:v>
      </x:c>
      <x:c r="N42" s="14" t="str"/>
      <x:c r="O42" s="14" t="str">
        <x:v>None</x:v>
      </x:c>
      <x:c r="P42" s="14" t="str">
        <x:v>No</x:v>
      </x:c>
      <x:c r="Q42" s="14" t="str">
        <x:v>No change required.</x:v>
      </x:c>
      <x:c r="R42" s="14" t="str"/>
      <x:c r="S42" s="14" t="str"/>
      <x:c r="T42" s="14" t="str">
        <x:v>Repeat the initial steps after any tracker-backed change and run adjacent regression tests.</x:v>
      </x:c>
      <x:c r="U42" s="14" t="str">
        <x:v>PASS — digital delivery, 24-hour support, 14-day issue window, personal-use license, and support link are present.</x:v>
      </x:c>
      <x:c r="V42" s="14" t="str">
        <x:v>Verified</x:v>
      </x:c>
      <x:c r="W42" s="14" t="str">
        <x:v>No</x:v>
      </x:c>
      <x:c r="X42" s="14" t="str"/>
      <x:c r="Y42" s="14" t="str">
        <x:v>Feature audit: make mirrorloopai.com a first-class WebMCP experience that brings paying users and competes strongly, while preserving explicit human purchase control.</x:v>
      </x:c>
    </x:row>
    <x:row r="43">
      <x:c r="A43" s="14" t="str">
        <x:v>WM-001</x:v>
      </x:c>
      <x:c r="B43" s="14" t="str">
        <x:v>WebMCP capability detection and fallback</x:v>
      </x:c>
      <x:c r="C43" s="14" t="str">
        <x:v>WebMCP</x:v>
      </x:c>
      <x:c r="D43" s="14" t="str">
        <x:v>web/index.html; web/app.js; web/lib/webmcp.js</x:v>
      </x:c>
      <x:c r="E43" s="14" t="str">
        <x:v>/ quiz introduction</x:v>
      </x:c>
      <x:c r="F43" s="14" t="str">
        <x:v>Direct visitor and agent-enabled visitor</x:v>
      </x:c>
      <x:c r="G43" s="14" t="str">
        <x:v>As a visitor, I want the page to work with or without an AI-capable browser, so that browser support never blocks the reflection.</x:v>
      </x:c>
      <x:c r="H43" s="14" t="str">
        <x:v>Supported browsers display the available tool count; unsupported browsers receive a plain fallback message and retain the complete direct quiz.</x:v>
      </x:c>
      <x:c r="I43" s="14" t="str">
        <x:v>PASS — injected context registers eight tools and direct mode remains usable; unsupported-mode fallback is implemented.</x:v>
      </x:c>
      <x:c r="J43" s="14" t="str">
        <x:v>Verified</x:v>
      </x:c>
      <x:c r="K43" s="14" t="str">
        <x:v>Automated + browser</x:v>
      </x:c>
      <x:c r="L43" s="14" t="str">
        <x:v>Run with injected modelContext and without it; verify status text, body state, eight tools, and direct quiz usability.</x:v>
      </x:c>
      <x:c r="M43" s="14" t="str">
        <x:v>PASS — injected context registers eight tools and direct mode remains usable; unsupported-mode fallback is implemented. Evidence: qa_evidence/feature-audit-2026-08-29/browser/local-browser-audit.json; qa_evidence/feature-audit-2026-08-29/commands/node-gates.txt.</x:v>
      </x:c>
      <x:c r="N43" s="14" t="str"/>
      <x:c r="O43" s="14" t="str">
        <x:v>None</x:v>
      </x:c>
      <x:c r="P43" s="14" t="str">
        <x:v>No</x:v>
      </x:c>
      <x:c r="Q43" s="14" t="str">
        <x:v>No change required.</x:v>
      </x:c>
      <x:c r="R43" s="14" t="str"/>
      <x:c r="S43" s="14" t="str"/>
      <x:c r="T43" s="14" t="str">
        <x:v>Repeat the initial steps after any tracker-backed change and run adjacent regression tests.</x:v>
      </x:c>
      <x:c r="U43" s="14" t="str">
        <x:v>PASS — injected context registers eight tools and direct mode remains usable; unsupported-mode fallback is implemented.</x:v>
      </x:c>
      <x:c r="V43" s="14" t="str">
        <x:v>Verified</x:v>
      </x:c>
      <x:c r="W43" s="14" t="str">
        <x:v>No</x:v>
      </x:c>
      <x:c r="X43" s="14" t="str"/>
      <x:c r="Y43" s="14" t="str">
        <x:v>Feature audit: make mirrorloopai.com a first-class WebMCP experience that brings paying users and competes strongly, while preserving explicit human purchase control.</x:v>
      </x:c>
    </x:row>
    <x:row r="44">
      <x:c r="A44" s="14" t="str">
        <x:v>WM-002</x:v>
      </x:c>
      <x:c r="B44" s="14" t="str">
        <x:v>Agent starts a private reflection</x:v>
      </x:c>
      <x:c r="C44" s="14" t="str">
        <x:v>WebMCP</x:v>
      </x:c>
      <x:c r="D44" s="14" t="str">
        <x:v>web/lib/webmcp.js; web/app.js</x:v>
      </x:c>
      <x:c r="E44" s="14" t="str">
        <x:v>start_reflection</x:v>
      </x:c>
      <x:c r="F44" s="14" t="str">
        <x:v>Agent-assisted participant</x:v>
      </x:c>
      <x:c r="G44" s="14" t="str">
        <x:v>As an agent-assisted participant, I want my agent to start or reset the reflection, so that the visible page and tool state begin together.</x:v>
      </x:c>
      <x:c r="H44" s="14" t="str">
        <x:v>The tool resets ephemeral answers, opens question 1, reports privacy and length, does not echo the private focus, and performs no external write.</x:v>
      </x:c>
      <x:c r="I44" s="14" t="str">
        <x:v>PASS — session resets locally, returns 12-question/privacy metadata, and focus is not echoed.</x:v>
      </x:c>
      <x:c r="J44" s="14" t="str">
        <x:v>Verified</x:v>
      </x:c>
      <x:c r="K44" s="14" t="str">
        <x:v>Automated + browser</x:v>
      </x:c>
      <x:c r="L44" s="14" t="str">
        <x:v>Call with empty and bounded focus; inspect DOM and response; verify overlong and unknown fields reject; verify no network write beyond aggregate start analytics.</x:v>
      </x:c>
      <x:c r="M44" s="14" t="str">
        <x:v>PASS — session resets locally, returns 12-question/privacy metadata, and focus is not echoed. Evidence: qa_evidence/feature-audit-2026-08-29/browser/local-browser-audit.json; qa_evidence/feature-audit-2026-08-29/commands/node-gates.txt.</x:v>
      </x:c>
      <x:c r="N44" s="14" t="str"/>
      <x:c r="O44" s="14" t="str">
        <x:v>None</x:v>
      </x:c>
      <x:c r="P44" s="14" t="str">
        <x:v>No</x:v>
      </x:c>
      <x:c r="Q44" s="14" t="str">
        <x:v>No change required.</x:v>
      </x:c>
      <x:c r="R44" s="14" t="str"/>
      <x:c r="S44" s="14" t="str"/>
      <x:c r="T44" s="14" t="str">
        <x:v>Repeat the initial steps after any tracker-backed change and run adjacent regression tests.</x:v>
      </x:c>
      <x:c r="U44" s="14" t="str">
        <x:v>PASS — session resets locally, returns 12-question/privacy metadata, and focus is not echoed.</x:v>
      </x:c>
      <x:c r="V44" s="14" t="str">
        <x:v>Verified</x:v>
      </x:c>
      <x:c r="W44" s="14" t="str">
        <x:v>No</x:v>
      </x:c>
      <x:c r="X44" s="14" t="str"/>
      <x:c r="Y44" s="14" t="str">
        <x:v>Feature audit: make mirrorloopai.com a first-class WebMCP experience that brings paying users and competes strongly, while preserving explicit human purchase control.</x:v>
      </x:c>
    </x:row>
    <x:row r="45">
      <x:c r="A45" s="14" t="str">
        <x:v>WM-003</x:v>
      </x:c>
      <x:c r="B45" s="14" t="str">
        <x:v>Agent reads the current question</x:v>
      </x:c>
      <x:c r="C45" s="14" t="str">
        <x:v>WebMCP</x:v>
      </x:c>
      <x:c r="D45" s="14" t="str">
        <x:v>web/lib/webmcp.js; web/app.js; web/data/quiz.json</x:v>
      </x:c>
      <x:c r="E45" s="14" t="str">
        <x:v>get_current_question</x:v>
      </x:c>
      <x:c r="F45" s="14" t="str">
        <x:v>Agent-assisted participant</x:v>
      </x:c>
      <x:c r="G45" s="14" t="str">
        <x:v>As an agent-assisted participant, I want my agent to read the active question and all choices, so that it can explain the decision without guessing.</x:v>
      </x:c>
      <x:c r="H45" s="14" t="str">
        <x:v>The tool requires an active session and returns the current ID, stage, prompt, and all 12 code/label/glyph choices from canonical quiz data.</x:v>
      </x:c>
      <x:c r="I45" s="14" t="str">
        <x:v>PASS — current question returns 12 canonical options after start and rejects before start.</x:v>
      </x:c>
      <x:c r="J45" s="14" t="str">
        <x:v>Verified</x:v>
      </x:c>
      <x:c r="K45" s="14" t="str">
        <x:v>Automated + browser</x:v>
      </x:c>
      <x:c r="L45" s="14" t="str">
        <x:v>Call before start and expect error; start; call at question 1 and after advancing; compare payload with visible DOM and quiz JSON.</x:v>
      </x:c>
      <x:c r="M45" s="14" t="str">
        <x:v>PASS — current question returns 12 canonical options after start and rejects before start. Evidence: qa_evidence/feature-audit-2026-08-29/browser/local-browser-audit.json; qa_evidence/feature-audit-2026-08-29/commands/node-gates.txt.</x:v>
      </x:c>
      <x:c r="N45" s="14" t="str"/>
      <x:c r="O45" s="14" t="str">
        <x:v>None</x:v>
      </x:c>
      <x:c r="P45" s="14" t="str">
        <x:v>No</x:v>
      </x:c>
      <x:c r="Q45" s="14" t="str">
        <x:v>No change required.</x:v>
      </x:c>
      <x:c r="R45" s="14" t="str"/>
      <x:c r="S45" s="14" t="str"/>
      <x:c r="T45" s="14" t="str">
        <x:v>Repeat the initial steps after any tracker-backed change and run adjacent regression tests.</x:v>
      </x:c>
      <x:c r="U45" s="14" t="str">
        <x:v>PASS — current question returns 12 canonical options after start and rejects before start.</x:v>
      </x:c>
      <x:c r="V45" s="14" t="str">
        <x:v>Verified</x:v>
      </x:c>
      <x:c r="W45" s="14" t="str">
        <x:v>No</x:v>
      </x:c>
      <x:c r="X45" s="14" t="str"/>
      <x:c r="Y45" s="14" t="str">
        <x:v>Feature audit: make mirrorloopai.com a first-class WebMCP experience that brings paying users and competes strongly, while preserving explicit human purchase control.</x:v>
      </x:c>
    </x:row>
    <x:row r="46">
      <x:c r="A46" s="14" t="str">
        <x:v>WM-004</x:v>
      </x:c>
      <x:c r="B46" s="14" t="str">
        <x:v>Agent explains a choice without selecting it</x:v>
      </x:c>
      <x:c r="C46" s="14" t="str">
        <x:v>WebMCP</x:v>
      </x:c>
      <x:c r="D46" s="14" t="str">
        <x:v>web/lib/webmcp.js; web/app.js; web/lib/quiz-core.js</x:v>
      </x:c>
      <x:c r="E46" s="14" t="str">
        <x:v>explain_choice</x:v>
      </x:c>
      <x:c r="F46" s="14" t="str">
        <x:v>Uncertain participant</x:v>
      </x:c>
      <x:c r="G46" s="14" t="str">
        <x:v>As a participant uncertain about a choice, I want a plain-language explanation before selecting it, so that I retain informed agency.</x:v>
      </x:c>
      <x:c r="H46" s="14" t="str">
        <x:v>A valid question and choice return meaning and prompt with NOT_SELECTED status; invalid or unknown input rejects; quiz state and DOM remain unchanged.</x:v>
      </x:c>
      <x:c r="I46" s="14" t="str">
        <x:v>PASS — explanation returns NOT_SELECTED and does not mutate answer state.</x:v>
      </x:c>
      <x:c r="J46" s="14" t="str">
        <x:v>Verified</x:v>
      </x:c>
      <x:c r="K46" s="14" t="str">
        <x:v>Automated + browser</x:v>
      </x:c>
      <x:c r="L46" s="14" t="str">
        <x:v>Call valid and invalid combinations; compare before/after current question and answer review; scan response size and private-data boundary.</x:v>
      </x:c>
      <x:c r="M46" s="14" t="str">
        <x:v>PASS — explanation returns NOT_SELECTED and does not mutate answer state. Evidence: qa_evidence/feature-audit-2026-08-29/browser/local-browser-audit.json; qa_evidence/feature-audit-2026-08-29/commands/node-gates.txt.</x:v>
      </x:c>
      <x:c r="N46" s="14" t="str"/>
      <x:c r="O46" s="14" t="str">
        <x:v>None</x:v>
      </x:c>
      <x:c r="P46" s="14" t="str">
        <x:v>No</x:v>
      </x:c>
      <x:c r="Q46" s="14" t="str">
        <x:v>No change required.</x:v>
      </x:c>
      <x:c r="R46" s="14" t="str"/>
      <x:c r="S46" s="14" t="str"/>
      <x:c r="T46" s="14" t="str">
        <x:v>Repeat the initial steps after any tracker-backed change and run adjacent regression tests.</x:v>
      </x:c>
      <x:c r="U46" s="14" t="str">
        <x:v>PASS — explanation returns NOT_SELECTED and does not mutate answer state.</x:v>
      </x:c>
      <x:c r="V46" s="14" t="str">
        <x:v>Verified</x:v>
      </x:c>
      <x:c r="W46" s="14" t="str">
        <x:v>No</x:v>
      </x:c>
      <x:c r="X46" s="14" t="str"/>
      <x:c r="Y46" s="14" t="str">
        <x:v>Feature audit: make mirrorloopai.com a first-class WebMCP experience that brings paying users and competes strongly, while preserving explicit human purchase control.</x:v>
      </x:c>
    </x:row>
    <x:row r="47">
      <x:c r="A47" s="14" t="str">
        <x:v>WM-005</x:v>
      </x:c>
      <x:c r="B47" s="14" t="str">
        <x:v>Human-confirmed agent answer</x:v>
      </x:c>
      <x:c r="C47" s="14" t="str">
        <x:v>WebMCP</x:v>
      </x:c>
      <x:c r="D47" s="14" t="str">
        <x:v>web/lib/webmcp.js; web/app.js</x:v>
      </x:c>
      <x:c r="E47" s="14" t="str">
        <x:v>answer_reflection_question</x:v>
      </x:c>
      <x:c r="F47" s="14" t="str">
        <x:v>Agent-assisted participant</x:v>
      </x:c>
      <x:c r="G47" s="14" t="str">
        <x:v>As a participant, I want my agent to record only choices I explicitly confirm, so that it cannot decide the reflection for me.</x:v>
      </x:c>
      <x:c r="H47" s="14" t="str">
        <x:v>The tool requires confirmed_by_user=true, only accepts the active question and available choice, advances exactly once, and reports next action.</x:v>
      </x:c>
      <x:c r="I47" s="14" t="str">
        <x:v>PASS — unconfirmed answer rejects; confirmed answers advance one stage; skip/schema tests pass.</x:v>
      </x:c>
      <x:c r="J47" s="14" t="str">
        <x:v>Verified</x:v>
      </x:c>
      <x:c r="K47" s="14" t="str">
        <x:v>Automated + browser</x:v>
      </x:c>
      <x:c r="L47" s="14" t="str">
        <x:v>Attempt unconfirmed, skipped, repeated, malformed, and confirmed answers; inspect calls, DOM progress, and answer count.</x:v>
      </x:c>
      <x:c r="M47" s="14" t="str">
        <x:v>PASS — unconfirmed answer rejects; confirmed answers advance one stage; skip/schema tests pass. Evidence: qa_evidence/feature-audit-2026-08-29/browser/local-browser-audit.json; qa_evidence/feature-audit-2026-08-29/commands/node-gates.txt.</x:v>
      </x:c>
      <x:c r="N47" s="14" t="str"/>
      <x:c r="O47" s="14" t="str">
        <x:v>None</x:v>
      </x:c>
      <x:c r="P47" s="14" t="str">
        <x:v>No</x:v>
      </x:c>
      <x:c r="Q47" s="14" t="str">
        <x:v>No change required.</x:v>
      </x:c>
      <x:c r="R47" s="14" t="str"/>
      <x:c r="S47" s="14" t="str"/>
      <x:c r="T47" s="14" t="str">
        <x:v>Repeat the initial steps after any tracker-backed change and run adjacent regression tests.</x:v>
      </x:c>
      <x:c r="U47" s="14" t="str">
        <x:v>PASS — unconfirmed answer rejects; confirmed answers advance one stage; skip/schema tests pass.</x:v>
      </x:c>
      <x:c r="V47" s="14" t="str">
        <x:v>Verified</x:v>
      </x:c>
      <x:c r="W47" s="14" t="str">
        <x:v>No</x:v>
      </x:c>
      <x:c r="X47" s="14" t="str"/>
      <x:c r="Y47" s="14" t="str">
        <x:v>Feature audit: make mirrorloopai.com a first-class WebMCP experience that brings paying users and competes strongly, while preserving explicit human purchase control.</x:v>
      </x:c>
    </x:row>
    <x:row r="48">
      <x:c r="A48" s="14" t="str">
        <x:v>WM-006</x:v>
      </x:c>
      <x:c r="B48" s="14" t="str">
        <x:v>Agent reviews recorded answers</x:v>
      </x:c>
      <x:c r="C48" s="14" t="str">
        <x:v>WebMCP</x:v>
      </x:c>
      <x:c r="D48" s="14" t="str">
        <x:v>web/lib/webmcp.js; web/app.js</x:v>
      </x:c>
      <x:c r="E48" s="14" t="str">
        <x:v>review_reflection_answers</x:v>
      </x:c>
      <x:c r="F48" s="14" t="str">
        <x:v>Participant checking consistency</x:v>
      </x:c>
      <x:c r="G48" s="14" t="str">
        <x:v>As a participant, I want to review the choices already recorded, so that I can catch misunderstandings before completion.</x:v>
      </x:c>
      <x:c r="H48" s="14" t="str">
        <x:v>The read-only tool returns only recorded question/code pairs and totals, changes no state, and leaks no focus area or source corpus.</x:v>
      </x:c>
      <x:c r="I48" s="14" t="str">
        <x:v>PASS — review returns 12 recorded question/code pairs without private focus or corpora.</x:v>
      </x:c>
      <x:c r="J48" s="14" t="str">
        <x:v>Verified</x:v>
      </x:c>
      <x:c r="K48" s="14" t="str">
        <x:v>Automated + browser</x:v>
      </x:c>
      <x:c r="L48" s="14" t="str">
        <x:v>Review at zero, partial, and 12 answers; compare with choices; repeat and verify no DOM/state mutation.</x:v>
      </x:c>
      <x:c r="M48" s="14" t="str">
        <x:v>PASS — review returns 12 recorded question/code pairs without private focus or corpora. Evidence: qa_evidence/feature-audit-2026-08-29/browser/local-browser-audit.json; qa_evidence/feature-audit-2026-08-29/commands/node-gates.txt.</x:v>
      </x:c>
      <x:c r="N48" s="14" t="str"/>
      <x:c r="O48" s="14" t="str">
        <x:v>None</x:v>
      </x:c>
      <x:c r="P48" s="14" t="str">
        <x:v>No</x:v>
      </x:c>
      <x:c r="Q48" s="14" t="str">
        <x:v>No change required.</x:v>
      </x:c>
      <x:c r="R48" s="14" t="str"/>
      <x:c r="S48" s="14" t="str"/>
      <x:c r="T48" s="14" t="str">
        <x:v>Repeat the initial steps after any tracker-backed change and run adjacent regression tests.</x:v>
      </x:c>
      <x:c r="U48" s="14" t="str">
        <x:v>PASS — review returns 12 recorded question/code pairs without private focus or corpora.</x:v>
      </x:c>
      <x:c r="V48" s="14" t="str">
        <x:v>Verified</x:v>
      </x:c>
      <x:c r="W48" s="14" t="str">
        <x:v>No</x:v>
      </x:c>
      <x:c r="X48" s="14" t="str"/>
      <x:c r="Y48" s="14" t="str">
        <x:v>Feature audit: make mirrorloopai.com a first-class WebMCP experience that brings paying users and competes strongly, while preserving explicit human purchase control.</x:v>
      </x:c>
    </x:row>
    <x:row r="49">
      <x:c r="A49" s="14" t="str">
        <x:v>WM-007</x:v>
      </x:c>
      <x:c r="B49" s="14" t="str">
        <x:v>Agent completes and displays reflection</x:v>
      </x:c>
      <x:c r="C49" s="14" t="str">
        <x:v>WebMCP</x:v>
      </x:c>
      <x:c r="D49" s="14" t="str">
        <x:v>web/lib/webmcp.js; web/app.js; web/lib/quiz-core.js</x:v>
      </x:c>
      <x:c r="E49" s="14" t="str">
        <x:v>complete_reflection</x:v>
      </x:c>
      <x:c r="F49" s="14" t="str">
        <x:v>Agent-assisted participant</x:v>
      </x:c>
      <x:c r="G49" s="14" t="str">
        <x:v>As a participant, I want my agent to complete the reflection only after all questions, so that I receive the same visible, bounded result as a direct user.</x:v>
      </x:c>
      <x:c r="H49" s="14" t="str">
        <x:v>Premature completion rejects; complete input uses deterministic scoring, displays the result, and returns primary/supporting lenses, bounded action, and non-diagnostic boundary.</x:v>
      </x:c>
      <x:c r="I49" s="14" t="str">
        <x:v>PASS — full agent flow resolves Horizon Signal and matches direct deterministic scoring and visible result.</x:v>
      </x:c>
      <x:c r="J49" s="14" t="str">
        <x:v>Verified</x:v>
      </x:c>
      <x:c r="K49" s="14" t="str">
        <x:v>Automated + browser</x:v>
      </x:c>
      <x:c r="L49" s="14" t="str">
        <x:v>Attempt after fewer than 12 answers; answer all; complete; compare tool payload with visible result and direct scoring test.</x:v>
      </x:c>
      <x:c r="M49" s="14" t="str">
        <x:v>PASS — full agent flow resolves Horizon Signal and matches direct deterministic scoring and visible result. Evidence: qa_evidence/feature-audit-2026-08-29/browser/local-browser-audit.json; qa_evidence/feature-audit-2026-08-29/commands/node-gates.txt.</x:v>
      </x:c>
      <x:c r="N49" s="14" t="str"/>
      <x:c r="O49" s="14" t="str">
        <x:v>None</x:v>
      </x:c>
      <x:c r="P49" s="14" t="str">
        <x:v>No</x:v>
      </x:c>
      <x:c r="Q49" s="14" t="str">
        <x:v>No change required.</x:v>
      </x:c>
      <x:c r="R49" s="14" t="str"/>
      <x:c r="S49" s="14" t="str"/>
      <x:c r="T49" s="14" t="str">
        <x:v>Repeat the initial steps after any tracker-backed change and run adjacent regression tests.</x:v>
      </x:c>
      <x:c r="U49" s="14" t="str">
        <x:v>PASS — full agent flow resolves Horizon Signal and matches direct deterministic scoring and visible result.</x:v>
      </x:c>
      <x:c r="V49" s="14" t="str">
        <x:v>Verified</x:v>
      </x:c>
      <x:c r="W49" s="14" t="str">
        <x:v>No</x:v>
      </x:c>
      <x:c r="X49" s="14" t="str"/>
      <x:c r="Y49" s="14" t="str">
        <x:v>Feature audit: make mirrorloopai.com a first-class WebMCP experience that brings paying users and competes strongly, while preserving explicit human purchase control.</x:v>
      </x:c>
    </x:row>
    <x:row r="50">
      <x:c r="A50" s="14" t="str">
        <x:v>WM-008</x:v>
      </x:c>
      <x:c r="B50" s="14" t="str">
        <x:v>Agent retrieves one public card</x:v>
      </x:c>
      <x:c r="C50" s="14" t="str">
        <x:v>WebMCP</x:v>
      </x:c>
      <x:c r="D50" s="14" t="str">
        <x:v>web/lib/webmcp.js; web/app.js; web/data/cards.json</x:v>
      </x:c>
      <x:c r="E50" s="14" t="str">
        <x:v>get_card</x:v>
      </x:c>
      <x:c r="F50" s="14" t="str">
        <x:v>Card explorer</x:v>
      </x:c>
      <x:c r="G50" s="14" t="str">
        <x:v>As a card explorer, I want my agent to retrieve one card by identifier, so that I can understand its public meaning without exposing private source material.</x:v>
      </x:c>
      <x:c r="H50" s="14" t="str">
        <x:v>IDs 001–144 return bounded public metadata; malformed/out-of-range IDs reject; generation prompts, internal evaluation, and private corpora never appear.</x:v>
      </x:c>
      <x:c r="I50" s="14" t="str">
        <x:v>PASS — Card 144 returns bounded public metadata; 144-card completeness and forbidden-field scans pass.</x:v>
      </x:c>
      <x:c r="J50" s="14" t="str">
        <x:v>Verified</x:v>
      </x:c>
      <x:c r="K50" s="14" t="str">
        <x:v>Automated + security</x:v>
      </x:c>
      <x:c r="L50" s="14" t="str">
        <x:v>Call boundary and representative IDs plus malformed values; compare with 144-card registry; run forbidden-field and secret scans.</x:v>
      </x:c>
      <x:c r="M50" s="14" t="str">
        <x:v>PASS — Card 144 returns bounded public metadata; 144-card completeness and forbidden-field scans pass. Evidence: qa_evidence/feature-audit-2026-08-29/browser/local-browser-audit.json; qa_evidence/feature-audit-2026-08-29/commands/node-gates.txt.</x:v>
      </x:c>
      <x:c r="N50" s="14" t="str"/>
      <x:c r="O50" s="14" t="str">
        <x:v>None</x:v>
      </x:c>
      <x:c r="P50" s="14" t="str">
        <x:v>No</x:v>
      </x:c>
      <x:c r="Q50" s="14" t="str">
        <x:v>No change required.</x:v>
      </x:c>
      <x:c r="R50" s="14" t="str"/>
      <x:c r="S50" s="14" t="str"/>
      <x:c r="T50" s="14" t="str">
        <x:v>Repeat the initial steps after any tracker-backed change and run adjacent regression tests.</x:v>
      </x:c>
      <x:c r="U50" s="14" t="str">
        <x:v>PASS — Card 144 returns bounded public metadata; 144-card completeness and forbidden-field scans pass.</x:v>
      </x:c>
      <x:c r="V50" s="14" t="str">
        <x:v>Verified</x:v>
      </x:c>
      <x:c r="W50" s="14" t="str">
        <x:v>No</x:v>
      </x:c>
      <x:c r="X50" s="14" t="str"/>
      <x:c r="Y50" s="14" t="str">
        <x:v>Feature audit: make mirrorloopai.com a first-class WebMCP experience that brings paying users and competes strongly, while preserving explicit human purchase control.</x:v>
      </x:c>
    </x:row>
    <x:row r="51">
      <x:c r="A51" s="14" t="str">
        <x:v>WM-009</x:v>
      </x:c>
      <x:c r="B51" s="14" t="str">
        <x:v>Agent recommends a relevant digital edition</x:v>
      </x:c>
      <x:c r="C51" s="14" t="str">
        <x:v>WebMCP conversion</x:v>
      </x:c>
      <x:c r="D51" s="14" t="str">
        <x:v>web/lib/webmcp.js; web/app.js; web/data/shop.json</x:v>
      </x:c>
      <x:c r="E51" s="14" t="str">
        <x:v>recommend_card_edition</x:v>
      </x:c>
      <x:c r="F51" s="14" t="str">
        <x:v>Participant considering a purchase</x:v>
      </x:c>
      <x:c r="G51" s="14" t="str">
        <x:v>As a participant considering deeper use, I want a relevant edition recommendation, so that I can find the matching product without surrendering purchase control.</x:v>
      </x:c>
      <x:c r="H51" s="14" t="str">
        <x:v>The read-only tool uses explicit ARC or completed primary lens plus edition/scope, returns a real digital catalog item and /shop path, and exposes neither price nor direct Stripe URL.</x:v>
      </x:c>
      <x:c r="I51" s="14" t="str">
        <x:v>PASS — completed primary lens maps to ARC 01 Full-Color; output declares digital_download and no price/direct Stripe URL.</x:v>
      </x:c>
      <x:c r="J51" s="14" t="str">
        <x:v>Verified</x:v>
      </x:c>
      <x:c r="K51" s="14" t="str">
        <x:v>Automated + browser</x:v>
      </x:c>
      <x:c r="L51" s="14" t="str">
        <x:v>Test explicit ARC, completed-result fallback, complete visual/insight scopes, malformed input, missing context, and response for price/URL leakage.</x:v>
      </x:c>
      <x:c r="M51" s="14" t="str">
        <x:v>PASS — completed primary lens maps to ARC 01 Full-Color; output declares digital_download and no price/direct Stripe URL. Evidence: qa_evidence/feature-audit-2026-08-29/browser/local-browser-audit.json; qa_evidence/feature-audit-2026-08-29/commands/node-gates.txt.</x:v>
      </x:c>
      <x:c r="N51" s="14" t="str"/>
      <x:c r="O51" s="14" t="str">
        <x:v>None</x:v>
      </x:c>
      <x:c r="P51" s="14" t="str">
        <x:v>No</x:v>
      </x:c>
      <x:c r="Q51" s="14" t="str">
        <x:v>No change required.</x:v>
      </x:c>
      <x:c r="R51" s="14" t="str"/>
      <x:c r="S51" s="14" t="str"/>
      <x:c r="T51" s="14" t="str">
        <x:v>Repeat the initial steps after any tracker-backed change and run adjacent regression tests.</x:v>
      </x:c>
      <x:c r="U51" s="14" t="str">
        <x:v>PASS — completed primary lens maps to ARC 01 Full-Color; output declares digital_download and no price/direct Stripe URL.</x:v>
      </x:c>
      <x:c r="V51" s="14" t="str">
        <x:v>Verified</x:v>
      </x:c>
      <x:c r="W51" s="14" t="str">
        <x:v>No</x:v>
      </x:c>
      <x:c r="X51" s="14" t="str"/>
      <x:c r="Y51" s="14" t="str">
        <x:v>Feature audit: make mirrorloopai.com a first-class WebMCP experience that brings paying users and competes strongly, while preserving explicit human purchase control.</x:v>
      </x:c>
    </x:row>
    <x:row r="52">
      <x:c r="A52" s="14" t="str">
        <x:v>WM-010</x:v>
      </x:c>
      <x:c r="B52" s="14" t="str">
        <x:v>WebMCP security and commerce boundary</x:v>
      </x:c>
      <x:c r="C52" s="14" t="str">
        <x:v>WebMCP safety</x:v>
      </x:c>
      <x:c r="D52" s="14" t="str">
        <x:v>web/lib/webmcp.js; api/internal/commerce/checkout.go</x:v>
      </x:c>
      <x:c r="E52" s="14" t="str">
        <x:v>All WebMCP tools</x:v>
      </x:c>
      <x:c r="F52" s="14" t="str">
        <x:v>Participant and buyer</x:v>
      </x:c>
      <x:c r="G52" s="14" t="str">
        <x:v>As a participant, I want AI assistance bounded to explanation and local navigation, so that email, contracts, and payments remain my explicit actions.</x:v>
      </x:c>
      <x:c r="H52" s="14" t="str">
        <x:v>Every schema rejects unknown fields; same-origin scope is retained; annotations match read/write behavior; no tool submits email, mutates cart, creates checkout, or sends payment.</x:v>
      </x:c>
      <x:c r="I52" s="14" t="str">
        <x:v>PASS — strict schemas, same-origin registration, annotations, and no email/cart/checkout tool path verified.</x:v>
      </x:c>
      <x:c r="J52" s="14" t="str">
        <x:v>Verified</x:v>
      </x:c>
      <x:c r="K52" s="14" t="str">
        <x:v>Automated security review</x:v>
      </x:c>
      <x:c r="L52" s="14" t="str">
        <x:v>Inspect all registrations and annotations; fuzz unknown properties; scan tool definitions for email/checkout/payment calls and cross-origin exposure.</x:v>
      </x:c>
      <x:c r="M52" s="14" t="str">
        <x:v>PASS — strict schemas, same-origin registration, annotations, and no email/cart/checkout tool path verified. Evidence: qa_evidence/feature-audit-2026-08-29/browser/local-browser-audit.json; qa_evidence/feature-audit-2026-08-29/commands/node-gates.txt.</x:v>
      </x:c>
      <x:c r="N52" s="14" t="str"/>
      <x:c r="O52" s="14" t="str">
        <x:v>None</x:v>
      </x:c>
      <x:c r="P52" s="14" t="str">
        <x:v>No</x:v>
      </x:c>
      <x:c r="Q52" s="14" t="str">
        <x:v>No change required.</x:v>
      </x:c>
      <x:c r="R52" s="14" t="str"/>
      <x:c r="S52" s="14" t="str"/>
      <x:c r="T52" s="14" t="str">
        <x:v>Repeat the initial steps after any tracker-backed change and run adjacent regression tests.</x:v>
      </x:c>
      <x:c r="U52" s="14" t="str">
        <x:v>PASS — strict schemas, same-origin registration, annotations, and no email/cart/checkout tool path verified.</x:v>
      </x:c>
      <x:c r="V52" s="14" t="str">
        <x:v>Verified</x:v>
      </x:c>
      <x:c r="W52" s="14" t="str">
        <x:v>No</x:v>
      </x:c>
      <x:c r="X52" s="14" t="str"/>
      <x:c r="Y52" s="14" t="str">
        <x:v>Feature audit: make mirrorloopai.com a first-class WebMCP experience that brings paying users and competes strongly, while preserving explicit human purchase control.</x:v>
      </x:c>
    </x:row>
    <x:row r="53">
      <x:c r="A53" s="14" t="str">
        <x:v>WM-011</x:v>
      </x:c>
      <x:c r="B53" s="14" t="str">
        <x:v>Native public-origin WebMCP discovery</x:v>
      </x:c>
      <x:c r="C53" s="14" t="str">
        <x:v>WebMCP release</x:v>
      </x:c>
      <x:c r="D53" s="14" t="str">
        <x:v>web/index.html; web/app.js; web/lib/webmcp.js; firebase.json</x:v>
      </x:c>
      <x:c r="E53" s="14" t="str">
        <x:v>https://mirrorloopai.com/ in Chrome WebMCP Inspector</x:v>
      </x:c>
      <x:c r="F53" s="14" t="str">
        <x:v>Competition judge using Chrome</x:v>
      </x:c>
      <x:c r="G53" s="14" t="str">
        <x:v>As a competition judge, I want Chrome to discover and execute the live tools immediately, so that I can evaluate a working public submission.</x:v>
      </x:c>
      <x:c r="H53" s="14" t="str">
        <x:v>The deployed origin contains a valid origin-trial token and current bundle; native Inspector discovers eight tools with correct schemas and can execute a safe start/read/explain flow.</x:v>
      </x:c>
      <x:c r="I53" s="14" t="str">
        <x:v>PASS — the public origin serves the origin-trial token and current WebMCP bundle; connected user Chrome reports AI-guided reflection ready with 8 tools available.</x:v>
      </x:c>
      <x:c r="J53" s="14" t="str">
        <x:v>Fixed</x:v>
      </x:c>
      <x:c r="K53" s="14" t="str">
        <x:v>Production browser + Inspector</x:v>
      </x:c>
      <x:c r="L53" s="14" t="str">
        <x:v>Fetch deployed HTML/bundle; open current Chrome with WebMCP enabled; inspect native tool list; execute safe read/local tools; capture screenshot and console/network evidence.</x:v>
      </x:c>
      <x:c r="M53" s="14" t="str">
        <x:v>PASS — public curl checks and native connected-Chrome registration status verified. Evidence: qa_evidence/feature-audit-2026-08-29/commands/production-retest.txt; qa_evidence/feature-audit-2026-08-29/browser/production-chrome-audit.json; qa_evidence/feature-audit-2026-08-29/screenshots/production-chrome-webmcp.jpg.</x:v>
      </x:c>
      <x:c r="N53" s="14" t="str">
        <x:v>INITIAL FAILURE — Chrome cannot discover any MIRROR//LOOP tools on the public competition origin.</x:v>
      </x:c>
      <x:c r="O53" s="14" t="str">
        <x:v>Critical</x:v>
      </x:c>
      <x:c r="P53" s="14" t="str">
        <x:v>Yes</x:v>
      </x:c>
      <x:c r="Q53" s="14" t="str">
        <x:v>Deployed the origin-trial-enabled current bundle and verified successful browser-native registration on mirrorloopai.com.</x:v>
      </x:c>
      <x:c r="R53" s="14" t="str">
        <x:v>web/index.html; web/app.js; web/lib/webmcp.js; firebase.json</x:v>
      </x:c>
      <x:c r="S53" s="14" t="str">
        <x:v>b1b5bc3</x:v>
      </x:c>
      <x:c r="T53" s="14" t="str">
        <x:v>Repeat the documented scenario on the deployed origin and rerun the targeted automated and browser regression gates.</x:v>
      </x:c>
      <x:c r="U53" s="14" t="str">
        <x:v>PASS — user Chrome loaded the public origin with data-active=true and “8 tools available”; the live direct reflection also completed successfully.</x:v>
      </x:c>
      <x:c r="V53" s="14" t="str">
        <x:v>Verified</x:v>
      </x:c>
      <x:c r="W53" s="14" t="str">
        <x:v>No</x:v>
      </x:c>
      <x:c r="X53" s="14" t="str">
        <x:v>Native Inspector—not an injected test double—is the release authority. Initial failed test retained: FAIL — The deployed HTML has no origin-trial token or WebMCP status and the deployed app bundle has no installMirrorLoopWebMCP import. Evidence: qa_evidence/feature-audit-2026-08-29/commands/production-audit.txt.</x:v>
      </x:c>
      <x:c r="Y53" s="14" t="str">
        <x:v>Feature audit: make mirrorloopai.com a first-class WebMCP experience that brings paying users and competes strongly, while preserving explicit human purchase control.</x:v>
      </x:c>
    </x:row>
    <x:row r="54">
      <x:c r="A54" s="14" t="str">
        <x:v>CV-001</x:v>
      </x:c>
      <x:c r="B54" s="14" t="str">
        <x:v>Reflection-to-collection next step</x:v>
      </x:c>
      <x:c r="C54" s="14" t="str">
        <x:v>Conversion</x:v>
      </x:c>
      <x:c r="D54" s="14" t="str">
        <x:v>web/index.html; web/app.js; web/shop.html</x:v>
      </x:c>
      <x:c r="E54" s="14" t="str">
        <x:v>Result panel</x:v>
      </x:c>
      <x:c r="F54" s="14" t="str">
        <x:v>Participant who received value</x:v>
      </x:c>
      <x:c r="G54" s="14" t="str">
        <x:v>As a participant who found the reflection useful, I want a clear optional path to the relevant card collection, so that I can continue with a product that matches my result.</x:v>
      </x:c>
      <x:c r="H54" s="14" t="str">
        <x:v>After result delivery, the page offers a non-coercive collection action alongside email and retake; it explains digital fulfillment and keeps purchase optional.</x:v>
      </x:c>
      <x:c r="I54" s="14" t="str">
        <x:v>PASS — a completed reflection now shows a non-coercive matching ARC action that links to the highlighted Mono and Full-Color ARC editions.</x:v>
      </x:c>
      <x:c r="J54" s="14" t="str">
        <x:v>Fixed</x:v>
      </x:c>
      <x:c r="K54" s="14" t="str">
        <x:v>Browser + content</x:v>
      </x:c>
      <x:c r="L54" s="14" t="str">
        <x:v>Complete quiz directly and through WebMCP; inspect result actions, destination, wording, focus order, and mobile layout.</x:v>
      </x:c>
      <x:c r="M54" s="14" t="str">
        <x:v>PASS — local and production Chrome completed ARC 01 result and resolved /shop.html?arc=01#arcs with two highlighted products. Evidence: qa_evidence/feature-audit-2026-08-29/browser/local-browser-audit.json; qa_evidence/feature-audit-2026-08-29/browser/production-chrome-audit.json.</x:v>
      </x:c>
      <x:c r="N54" s="14" t="str">
        <x:v>INITIAL FAILURE — Users who receive value have no contextual path to the paid collection.</x:v>
      </x:c>
      <x:c r="O54" s="14" t="str">
        <x:v>High</x:v>
      </x:c>
      <x:c r="P54" s="14" t="str">
        <x:v>Yes</x:v>
      </x:c>
      <x:c r="Q54" s="14" t="str">
        <x:v>Added a post-result collection card, deterministic ARC query link, and matching product highlights while keeping purchase optional.</x:v>
      </x:c>
      <x:c r="R54" s="14" t="str">
        <x:v>web/index.html; web/app.js; web/shop.js; web/styles.css</x:v>
      </x:c>
      <x:c r="S54" s="14" t="str">
        <x:v>b1b5bc3</x:v>
      </x:c>
      <x:c r="T54" s="14" t="str">
        <x:v>Repeat the documented scenario on the deployed origin and rerun the targeted automated and browser regression gates.</x:v>
      </x:c>
      <x:c r="U54" s="14" t="str">
        <x:v>PASS — result CTA reads “Explore ARC 01 · Horizon Signal”; destination highlights exactly the two ARC 01 editions and checkout stays user-controlled.</x:v>
      </x:c>
      <x:c r="V54" s="14" t="str">
        <x:v>Verified</x:v>
      </x:c>
      <x:c r="W54" s="14" t="str">
        <x:v>No</x:v>
      </x:c>
      <x:c r="X54" s="14" t="str">
        <x:v>Initial failed test retained: FAIL — After direct completion the result panel exposes only the privacy link, email form, and retake button; no collection action or matched edition is visible. Evidence: qa_evidence/feature-audit-2026-08-29/browser/local-browser-audit.json.</x:v>
      </x:c>
      <x:c r="Y54" s="14" t="str">
        <x:v>Feature audit: make mirrorloopai.com a first-class WebMCP experience that brings paying users and competes strongly, while preserving explicit human purchase control.</x:v>
      </x:c>
    </x:row>
    <x:row r="55">
      <x:c r="A55" s="14" t="str">
        <x:v>CV-002</x:v>
      </x:c>
      <x:c r="B55" s="14" t="str">
        <x:v>Cross-route journey continuity</x:v>
      </x:c>
      <x:c r="C55" s="14" t="str">
        <x:v>Navigation and conversion</x:v>
      </x:c>
      <x:c r="D55" s="14" t="str">
        <x:v>web/index.html; web/shop.html; web/terms.html; web/privacy.html</x:v>
      </x:c>
      <x:c r="E55" s="14" t="str">
        <x:v>Home, quiz, shop, terms, privacy</x:v>
      </x:c>
      <x:c r="F55" s="14" t="str">
        <x:v>Visitor moving between reflection and purchase</x:v>
      </x:c>
      <x:c r="G55" s="14" t="str">
        <x:v>As a visitor, I want predictable navigation among the reflection, collection, terms, and privacy pages, so that I never lose orientation.</x:v>
      </x:c>
      <x:c r="H55" s="14" t="str">
        <x:v>All primary/footer links resolve; shop returns to reflection; legal pages return to relevant journey; clean URLs and legacy .html URLs behave consistently.</x:v>
      </x:c>
      <x:c r="I55" s="14" t="str">
        <x:v>PASS — all internal links resolve; clean and .html routes respond or redirect consistently.</x:v>
      </x:c>
      <x:c r="J55" s="14" t="str">
        <x:v>Verified</x:v>
      </x:c>
      <x:c r="K55" s="14" t="str">
        <x:v>Automated links + browser</x:v>
      </x:c>
      <x:c r="L55" s="14" t="str">
        <x:v>Crawl internal links and redirects; activate primary/footer/legal return links at desktop and mobile sizes; verify headings and focus destinations.</x:v>
      </x:c>
      <x:c r="M55" s="14" t="str">
        <x:v>PASS — all internal links resolve; clean and .html routes respond or redirect consistently. Evidence: qa_evidence/feature-audit-2026-08-29/browser/local-browser-audit.json; qa_evidence/feature-audit-2026-08-29/commands/node-gates.txt.</x:v>
      </x:c>
      <x:c r="N55" s="14" t="str"/>
      <x:c r="O55" s="14" t="str">
        <x:v>None</x:v>
      </x:c>
      <x:c r="P55" s="14" t="str">
        <x:v>No</x:v>
      </x:c>
      <x:c r="Q55" s="14" t="str">
        <x:v>No change required.</x:v>
      </x:c>
      <x:c r="R55" s="14" t="str"/>
      <x:c r="S55" s="14" t="str"/>
      <x:c r="T55" s="14" t="str">
        <x:v>Repeat the initial steps after any tracker-backed change and run adjacent regression tests.</x:v>
      </x:c>
      <x:c r="U55" s="14" t="str">
        <x:v>PASS — all internal links resolve; clean and .html routes respond or redirect consistently.</x:v>
      </x:c>
      <x:c r="V55" s="14" t="str">
        <x:v>Verified</x:v>
      </x:c>
      <x:c r="W55" s="14" t="str">
        <x:v>No</x:v>
      </x:c>
      <x:c r="X55" s="14" t="str"/>
      <x:c r="Y55" s="14" t="str">
        <x:v>Feature audit: make mirrorloopai.com a first-class WebMCP experience that brings paying users and competes strongly, while preserving explicit human purchase control.</x:v>
      </x:c>
    </x:row>
    <x:row r="56">
      <x:c r="A56" s="14" t="str">
        <x:v>CP-001</x:v>
      </x:c>
      <x:c r="B56" s="14" t="str">
        <x:v>Agent and crawler discovery metadata</x:v>
      </x:c>
      <x:c r="C56" s="14" t="str">
        <x:v>Competition presentation</x:v>
      </x:c>
      <x:c r="D56" s="14" t="str">
        <x:v>web/llms.txt; web/robots.txt; web/sitemap.xml; web/index.html</x:v>
      </x:c>
      <x:c r="E56" s="14" t="str">
        <x:v>/llms.txt; /robots.txt; /sitemap.xml; document head</x:v>
      </x:c>
      <x:c r="F56" s="14" t="str">
        <x:v>Judge, agent, and crawler</x:v>
      </x:c>
      <x:c r="G56" s="14" t="str">
        <x:v>As a judge or compatible agent, I want accurate public metadata describing the experience, so that I can discover its purpose and safe entry points.</x:v>
      </x:c>
      <x:c r="H56" s="14" t="str">
        <x:v>Metadata names the quiz and collection truthfully, includes current canonical routes, avoids private implementation claims, and does not advertise unavailable capabilities.</x:v>
      </x:c>
      <x:c r="I56" s="14" t="str">
        <x:v>PASS — llms.txt now documents the reflection, all eight tools, commerce boundary, shop, privacy, and terms routes.</x:v>
      </x:c>
      <x:c r="J56" s="14" t="str">
        <x:v>Fixed</x:v>
      </x:c>
      <x:c r="K56" s="14" t="str">
        <x:v>Automated content + production smoke</x:v>
      </x:c>
      <x:c r="L56" s="14" t="str">
        <x:v>Parse metadata and sitemap; compare routes and descriptions with deployed features; verify HTTP status and content type.</x:v>
      </x:c>
      <x:c r="M56" s="14" t="str">
        <x:v>PASS — local validation and production metadata checks found recommend_card_edition and the collection route. Evidence: qa_evidence/feature-audit-2026-08-29/commands/retest-node-gates.txt; qa_evidence/feature-audit-2026-08-29/commands/production-retest.txt.</x:v>
      </x:c>
      <x:c r="N56" s="14" t="str">
        <x:v>INITIAL FAILURE — Agent-facing discovery metadata is incomplete for the competition and commerce experience.</x:v>
      </x:c>
      <x:c r="O56" s="14" t="str">
        <x:v>Medium</x:v>
      </x:c>
      <x:c r="P56" s="14" t="str">
        <x:v>Yes</x:v>
      </x:c>
      <x:c r="Q56" s="14" t="str">
        <x:v>Expanded agent-facing metadata with accurate tool inventory, public routes, and non-agent payment boundary.</x:v>
      </x:c>
      <x:c r="R56" s="14" t="str">
        <x:v>web/llms.txt; scripts/validate-site.mjs</x:v>
      </x:c>
      <x:c r="S56" s="14" t="str">
        <x:v>b1b5bc3</x:v>
      </x:c>
      <x:c r="T56" s="14" t="str">
        <x:v>Repeat the documented scenario on the deployed origin and rerun the targeted automated and browser regression gates.</x:v>
      </x:c>
      <x:c r="U56" s="14" t="str">
        <x:v>PASS — validation and public-origin checks confirm current WebMCP and shop metadata.</x:v>
      </x:c>
      <x:c r="V56" s="14" t="str">
        <x:v>Verified</x:v>
      </x:c>
      <x:c r="W56" s="14" t="str">
        <x:v>No</x:v>
      </x:c>
      <x:c r="X56" s="14" t="str">
        <x:v>Initial failed test retained: FAIL — llms.txt describes only the quiz and privacy page; it omits the shop and all eight WebMCP tools. Evidence: qa_evidence/feature-audit-2026-08-29/commands/metadata-links.txt.</x:v>
      </x:c>
      <x:c r="Y56" s="14" t="str">
        <x:v>Feature audit: make mirrorloopai.com a first-class WebMCP experience that brings paying users and competes strongly, while preserving explicit human purchase control.</x:v>
      </x:c>
    </x:row>
    <x:row r="57">
      <x:c r="A57" s="14" t="str">
        <x:v>WM-012</x:v>
      </x:c>
      <x:c r="B57" s="14" t="str">
        <x:v>Revise a prior agent-recorded answer</x:v>
      </x:c>
      <x:c r="C57" s="14" t="str">
        <x:v>WebMCP agency</x:v>
      </x:c>
      <x:c r="D57" s="14" t="str">
        <x:v>web/lib/webmcp.js; web/app.js</x:v>
      </x:c>
      <x:c r="E57" s="14" t="str">
        <x:v>answer_reflection_question</x:v>
      </x:c>
      <x:c r="F57" s="14" t="str">
        <x:v>Agent-assisted participant</x:v>
      </x:c>
      <x:c r="G57" s="14" t="str">
        <x:v>As an agent-assisted participant, I want to correct a previously recorded choice, so that one misunderstanding does not force me to restart the whole reflection.</x:v>
      </x:c>
      <x:c r="H57" s="14" t="str">
        <x:v>With explicit human confirmation, the existing answer tool may update an already answered earlier question without advancing or disturbing the current question; unanswered future questions remain forbidden.</x:v>
      </x:c>
      <x:c r="I57" s="14" t="str">
        <x:v>PASS — a confirmed prior answer can be revised without advancing the active question; future unanswered questions still reject.</x:v>
      </x:c>
      <x:c r="J57" s="14" t="str">
        <x:v>Fixed</x:v>
      </x:c>
      <x:c r="K57" s="14" t="str">
        <x:v>Automated + browser</x:v>
      </x:c>
      <x:c r="L57" s="14" t="str">
        <x:v>Start; answer questions 1 and 2; explicitly confirm a different choice for question 1; verify question 1 changes while question 3 remains active; attempt future question and expect rejection.</x:v>
      </x:c>
      <x:c r="M57" s="14" t="str">
        <x:v>PASS — revised question 1 from 01 to 02 while question 3 remained active; question 4 skip rejected; final review preserved the revision. Evidence: qa_evidence/feature-audit-2026-08-29/browser/local-browser-audit.json; qa_evidence/feature-audit-2026-08-29/commands/retest-node-gates.txt.</x:v>
      </x:c>
      <x:c r="N57" s="14" t="str">
        <x:v>INITIAL FAILURE — Agent-assisted users cannot correct a prior answer without restarting.</x:v>
      </x:c>
      <x:c r="O57" s="14" t="str">
        <x:v>High</x:v>
      </x:c>
      <x:c r="P57" s="14" t="str">
        <x:v>Yes</x:v>
      </x:c>
      <x:c r="Q57" s="14" t="str">
        <x:v>Extended the existing confirmed answer path to revise recorded answers without changing current progress, including completed reflections.</x:v>
      </x:c>
      <x:c r="R57" s="14" t="str">
        <x:v>web/app.js; web/lib/webmcp.js; web/tests/webmcp.test.mjs</x:v>
      </x:c>
      <x:c r="S57" s="14" t="str">
        <x:v>b1b5bc3</x:v>
      </x:c>
      <x:c r="T57" s="14" t="str">
        <x:v>Repeat the documented scenario on the deployed origin and rerun the targeted automated and browser regression gates.</x:v>
      </x:c>
      <x:c r="U57" s="14" t="str">
        <x:v>PASS — revision returned revised=true/current_question_id=3; review shows question 1 choice 02; future skip remained blocked.</x:v>
      </x:c>
      <x:c r="V57" s="14" t="str">
        <x:v>Verified</x:v>
      </x:c>
      <x:c r="W57" s="14" t="str">
        <x:v>No</x:v>
      </x:c>
      <x:c r="X57" s="14" t="str">
        <x:v>Keep the suite at eight tools by safely extending answer_reflection_question rather than adding a payment-adjacent or redundant tool. Initial failed test retained: FAIL — answer_reflection_question rejects every question other than the active one, including already answered questions. Evidence: qa_evidence/feature-audit-2026-08-29/browser/local-browser-audit.json.</x:v>
      </x:c>
      <x:c r="Y57" s="14" t="str">
        <x:v>Feature audit: make mirrorloopai.com a first-class WebMCP experience that brings paying users and competes strongly, while preserving explicit human purchase control.</x:v>
      </x:c>
    </x:row>
    <x:row r="58">
      <x:c r="A58" s="14" t="str">
        <x:v>WM-013</x:v>
      </x:c>
      <x:c r="B58" s="14" t="str">
        <x:v>Immediately visible WebMCP readiness badge</x:v>
      </x:c>
      <x:c r="C58" s="14" t="str">
        <x:v>WebMCP orientation</x:v>
      </x:c>
      <x:c r="D58" s="14" t="str">
        <x:v>web/index.html; web/app.js; web/styles.css</x:v>
      </x:c>
      <x:c r="E58" s="14" t="str">
        <x:v>Landing-page header</x:v>
      </x:c>
      <x:c r="F58" s="14" t="str">
        <x:v>Competition judge and WebMCP-enabled visitor</x:v>
      </x:c>
      <x:c r="G58" s="14" t="str">
        <x:v>As a visitor using a WebMCP-enabled browser, I want an immediately visible WebMCP readiness label and tool count, so that I know the site is agent-ready before starting.</x:v>
      </x:c>
      <x:c r="H58" s="14" t="str">
        <x:v>The landing header visibly reports “WebMCP ready · 8 tools” after native registration, uses a clear ready indicator, exposes status semantics to assistive technology, and provides an understandable direct-use fallback when WebMCP is unavailable.</x:v>
      </x:c>
      <x:c r="I58" s="14" t="str">
        <x:v>PASS — the persistent header badge reports “WebMCP ready · 8 tools” after registration and “WebMCP unavailable · direct reflection ready” otherwise.</x:v>
      </x:c>
      <x:c r="J58" s="14" t="str">
        <x:v>Fixed</x:v>
      </x:c>
      <x:c r="K58" s="14" t="str">
        <x:v>Reference comparison + automated + Chrome responsive</x:v>
      </x:c>
      <x:c r="L58" s="14" t="str">
        <x:v>Compare the coffee reference status copy/style; load the MIRROR//LOOP landing page with and without native WebMCP; verify exact ready copy, tool count, header visibility, accessible role, fallback copy, and mobile layout.</x:v>
      </x:c>
      <x:c r="M58" s="14" t="str">
        <x:v>PASS — Node gates passed; supported and fallback browser checks passed; desktop and 390 px mobile views keep the badge in the header without horizontal overflow. Evidence: qa_evidence/feature-audit-2026-08-30/commands/webmcp-identification-node-gates.txt; qa_evidence/feature-audit-2026-08-30/commands/webmcp-identification-browser-gates.txt; qa_evidence/feature-audit-2026-08-30/screenshots/webmcp-ready-desktop.png; qa_evidence/feature-audit-2026-08-30/screenshots/webmcp-ready-mobile.png. Production evidence: qa_evidence/feature-audit-2026-08-30/commands/production-webmcp-identification.txt; qa_evidence/feature-audit-2026-08-30/browser/production-webmcp-identification.json.</x:v>
      </x:c>
      <x:c r="N58" s="14" t="str">
        <x:v>WebMCP capability is not identified in the concise, immediately visible pattern used by the reference implementation.</x:v>
      </x:c>
      <x:c r="O58" s="14" t="str">
        <x:v>High</x:v>
      </x:c>
      <x:c r="P58" s="14" t="str">
        <x:v>Yes</x:v>
      </x:c>
      <x:c r="Q58" s="14" t="str">
        <x:v>Moved the status into the persistent header, adopted the exact concise ready label, added a direct-use fallback and accessible live status, and added responsive badge styling plus validation assertions.</x:v>
      </x:c>
      <x:c r="R58" s="14" t="str">
        <x:v>web/index.html; web/app.js; web/styles.css; scripts/validate-site.mjs; CHANGELOG.md</x:v>
      </x:c>
      <x:c r="S58" s="14" t="str">
        <x:v>828ee7a</x:v>
      </x:c>
      <x:c r="T58" s="14" t="str">
        <x:v>Run Node validation and browser tests; inspect desktop/mobile header in native WebMCP and fallback contexts; verify exactly eight tools.</x:v>
      </x:c>
      <x:c r="U58" s="14" t="str">
        <x:v>PASS — exactly eight registered tool names were observed; ready/fallback labels, header location, role/status semantics, and 390 px no-overflow behavior all passed. Node 21/21, Stripe 1/1, site validation, Go tests, and Go vet passed. Connected production Chrome reported data-active=true and the exact “WebMCP ready · 8 tools” label from the deployed 20260830-1 assets.</x:v>
      </x:c>
      <x:c r="V58" s="14" t="str">
        <x:v>Verified</x:v>
      </x:c>
      <x:c r="W58" s="14" t="str">
        <x:v>No</x:v>
      </x:c>
      <x:c r="X58" s="14" t="str">
        <x:v>Initial failed test retained: the previous badge was nested in the quiz introduction and said “AI-guided reflection ready · 8 tools available.” The fix changes identification only and does not expose email, cart mutation, checkout, or payment tools.</x:v>
      </x:c>
      <x:c r="Y58" s="14" t="str">
        <x:v>webmcp-coffee.jilles.fyi has “WebMCP ready · 4 tools” identification; MIRROR//LOOP needs the same.</x:v>
      </x:c>
    </x:row>
    <x:row r="59">
      <x:c r="A59" s="14" t="str">
        <x:v>SUB-001</x:v>
      </x:c>
      <x:c r="B59" s="14" t="str">
        <x:v>Public WebMCP demo</x:v>
      </x:c>
      <x:c r="C59" s="14" t="str">
        <x:v>Competition eligibility</x:v>
      </x:c>
      <x:c r="D59" s="14" t="str">
        <x:v>web/index.html; web/app.js; web/lib/webmcp.js; firebase.json</x:v>
      </x:c>
      <x:c r="E59" s="14" t="str">
        <x:v>https://mirrorloopai.com/</x:v>
      </x:c>
      <x:c r="F59" s="14" t="str">
        <x:v>Competition judge</x:v>
      </x:c>
      <x:c r="G59" s="14" t="str">
        <x:v>As a competition judge, I want a working public WebMCP experience, so that I can evaluate real human-agent collaboration.</x:v>
      </x:c>
      <x:c r="H59" s="14" t="str">
        <x:v>The live URL is freely reachable and Chrome with WebMCP discovers and safely executes the eight declared tools.</x:v>
      </x:c>
      <x:c r="I59" s="14" t="str">
        <x:v>PASS — the live site returns HTTP 200 and connected WebMCP-enabled Chrome reports “WebMCP ready · 8 tools”; existing evidence includes native registration and safe flow execution.</x:v>
      </x:c>
      <x:c r="J59" s="14" t="str">
        <x:v>Verified</x:v>
      </x:c>
      <x:c r="K59" s="14" t="str">
        <x:v>Production browser + HTTP</x:v>
      </x:c>
      <x:c r="L59" s="14" t="str">
        <x:v>Open the production URL in connected WebMCP-enabled Chrome; verify the visible tool count, inspect registration state, and execute a safe tool flow.</x:v>
      </x:c>
      <x:c r="M59" s="14" t="str">
        <x:v>PASS — public endpoint and connected-Chrome native WebMCP evidence verified. Evidence: qa_evidence/feature-audit-2026-08-30/commands/devpost-production-baseline.txt; qa_evidence/feature-audit-2026-08-30/browser/production-webmcp-identification.json.</x:v>
      </x:c>
      <x:c r="N59" s="14" t="str"/>
      <x:c r="O59" s="14" t="str">
        <x:v>None</x:v>
      </x:c>
      <x:c r="P59" s="14" t="str">
        <x:v>No</x:v>
      </x:c>
      <x:c r="Q59" s="14" t="str"/>
      <x:c r="R59" s="14" t="str"/>
      <x:c r="S59" s="14" t="str"/>
      <x:c r="T59" s="14" t="str"/>
      <x:c r="U59" s="14" t="str"/>
      <x:c r="V59" s="14" t="str">
        <x:v>Verified</x:v>
      </x:c>
      <x:c r="W59" s="14" t="str">
        <x:v>No</x:v>
      </x:c>
      <x:c r="X59" s="14" t="str">
        <x:v>Official source: https://webmcp.devpost.com/ and https://webmcp.devpost.com/rules. Live source snapshot and SHA-256: qa_evidence/feature-audit-2026-08-30/commands/devpost-live-source-verification.txt.</x:v>
      </x:c>
      <x:c r="Y59" s="14" t="str">
        <x:v>Double check whether MIRROR//LOOP covers all WebMCP Challenge submission bases.</x:v>
      </x:c>
    </x:row>
    <x:row r="60">
      <x:c r="A60" s="14" t="str">
        <x:v>SUB-002</x:v>
      </x:c>
      <x:c r="B60" s="14" t="str">
        <x:v>Public source repository and license</x:v>
      </x:c>
      <x:c r="C60" s="14" t="str">
        <x:v>Competition eligibility</x:v>
      </x:c>
      <x:c r="D60" s="14" t="str">
        <x:v>README.md; LICENSE; repository settings</x:v>
      </x:c>
      <x:c r="E60" s="14" t="str">
        <x:v>GitHub repository</x:v>
      </x:c>
      <x:c r="F60" s="14" t="str">
        <x:v>Competition judge</x:v>
      </x:c>
      <x:c r="G60" s="14" t="str">
        <x:v>As a competition judge, I want public source code under a visible open-source license, so that I can inspect and reproduce the project.</x:v>
      </x:c>
      <x:c r="H60" s="14" t="str">
        <x:v>The repository is public, contains the necessary source and assets, and GitHub detects the top-level MIT license.</x:v>
      </x:c>
      <x:c r="I60" s="14" t="str">
        <x:v>The root contains an MIT license and the complete private history has been sanitized: the cloud billing identifier and synthetic E2E participant alias are redacted from every reachable blob, common credential-signature scans pass, and current commit references point to rewritten identities. The rewritten main branch was force-pushed with an exact lease guard and synchronized at 0/0. GitHub still reports the repository as PRIVATE, so anonymous access returns 404.</x:v>
      </x:c>
      <x:c r="J60" s="14" t="str">
        <x:v>Failed Test</x:v>
      </x:c>
      <x:c r="K60" s="14" t="str">
        <x:v>GitHub metadata inspection</x:v>
      </x:c>
      <x:c r="L60" s="14" t="str">
        <x:v>Query repository visibility and license metadata; verify anonymous public access requirement and top-level license.</x:v>
      </x:c>
      <x:c r="M60" s="14" t="str">
        <x:v>PARTIAL PASS — history sanitization, complete local regression, guarded remote push, remote parity, and MIT detection pass; repository visibility remains private. Evidence: qa_evidence/submission_readiness/history-sanitization-2026-08-30.txt, history-sanitization-regression-2026-08-30.txt, and history-push-2026-08-30.txt.</x:v>
      </x:c>
      <x:c r="N60" s="14" t="str">
        <x:v>Repository is still private; anonymous source and license access remain unavailable until visibility is changed.</x:v>
      </x:c>
      <x:c r="O60" s="14" t="str">
        <x:v>Critical</x:v>
      </x:c>
      <x:c r="P60" s="14" t="str">
        <x:v>Yes — change visibility to public and verify anonymous repository and license access.</x:v>
      </x:c>
      <x:c r="Q60" s="14" t="str">
        <x:v>Expanded public-facing source, license, setup, and submission documentation; repository visibility was intentionally not changed without operator confirmation.</x:v>
      </x:c>
      <x:c r="R60" s="14" t="str">
        <x:v>README.md; SUBMISSION.md; THIRD_PARTY_NOTICES.md</x:v>
      </x:c>
      <x:c r="S60" s="14" t="str">
        <x:v>c6e6b0f</x:v>
      </x:c>
      <x:c r="T60" s="14" t="str">
        <x:v>After operator confirmation, make the repository public and verify anonymous access plus GitHub license detection.</x:v>
      </x:c>
      <x:c r="U60" s="14" t="str">
        <x:v>History sanitization PASS; guarded force-push PASS; immediate remote parity PASS (0/0); public visibility retest pending.</x:v>
      </x:c>
      <x:c r="V60" s="14" t="str">
        <x:v>Failed Test</x:v>
      </x:c>
      <x:c r="W60" s="14" t="str">
        <x:v>Yes — confirm publication after the final secret/IP review.</x:v>
      </x:c>
      <x:c r="X60" s="14" t="str">
        <x:v>A complete pre-rewrite bundle exists outside the repository. The original operational identifiers are absent from every reachable rewritten blob. Making the repository public remains a separate disclosure action.</x:v>
      </x:c>
      <x:c r="Y60" s="14" t="str">
        <x:v>Double check whether MIRROR//LOOP covers all WebMCP Challenge submission bases.</x:v>
      </x:c>
    </x:row>
    <x:row r="61">
      <x:c r="A61" s="14" t="str">
        <x:v>SUB-003</x:v>
      </x:c>
      <x:c r="B61" s="14" t="str">
        <x:v>Reproducible setup and testing guide</x:v>
      </x:c>
      <x:c r="C61" s="14" t="str">
        <x:v>Competition reproducibility</x:v>
      </x:c>
      <x:c r="D61" s="14" t="str">
        <x:v>README.md; package.json; go.mod; Makefile</x:v>
      </x:c>
      <x:c r="E61" s="14" t="str">
        <x:v>README / local checkout</x:v>
      </x:c>
      <x:c r="F61" s="14" t="str">
        <x:v>Technical judge</x:v>
      </x:c>
      <x:c r="G61" s="14" t="str">
        <x:v>As a technical judge, I want concise setup, run, test, and deployment instructions, so that I can reproduce the project without private knowledge.</x:v>
      </x:c>
      <x:c r="H61" s="14" t="str">
        <x:v>README documents prerequisites, local serving, validation, WebMCP activation/testing, backend configuration boundaries, and deployment without exposing secrets.</x:v>
      </x:c>
      <x:c r="I61" s="14" t="str">
        <x:v>FAIL — README lists verification commands but lacks prerequisites, local run steps, backend configuration boundaries, deployment instructions, and a judge-oriented WebMCP test procedure.</x:v>
      </x:c>
      <x:c r="J61" s="14" t="str">
        <x:v>Fixed</x:v>
      </x:c>
      <x:c r="K61" s="14" t="str">
        <x:v>Documentation audit</x:v>
      </x:c>
      <x:c r="L61" s="14" t="str">
        <x:v>Follow README from a clean-reader perspective; compare every required command and prerequisite with repository files; run the documented verification commands.</x:v>
      </x:c>
      <x:c r="M61" s="14" t="str">
        <x:v>FAIL — required setup/reproduction sections are incomplete. Evidence: qa_evidence/feature-audit-2026-08-30/commands/devpost-submission-baseline.txt.</x:v>
      </x:c>
      <x:c r="N61" s="14" t="str">
        <x:v>A judge cannot reproduce and test the full project from the current README alone.</x:v>
      </x:c>
      <x:c r="O61" s="14" t="str">
        <x:v>High</x:v>
      </x:c>
      <x:c r="P61" s="14" t="str">
        <x:v>Yes</x:v>
      </x:c>
      <x:c r="Q61" s="14" t="str">
        <x:v>Expanded the README with prerequisites, local serving, verification, native WebMCP testing, backend boundaries, and deployment guidance.</x:v>
      </x:c>
      <x:c r="R61" s="14" t="str">
        <x:v>README.md; package.json; scripts/validate-submission.mjs</x:v>
      </x:c>
      <x:c r="S61" s="14" t="str">
        <x:v>c6e6b0f</x:v>
      </x:c>
      <x:c r="T61" s="14" t="str">
        <x:v>Run npm run validate:submission and follow the documented local/test commands.</x:v>
      </x:c>
      <x:c r="U61" s="14" t="str">
        <x:v>PASS — all local package documentation assertions passed. Evidence: qa_evidence/feature-audit-2026-08-30/commands/devpost-submission-package-final.txt.</x:v>
      </x:c>
      <x:c r="V61" s="14" t="str">
        <x:v>Verified</x:v>
      </x:c>
      <x:c r="W61" s="14" t="str">
        <x:v>No</x:v>
      </x:c>
      <x:c r="X61" s="14" t="str">
        <x:v>Official source: https://webmcp.devpost.com/ and https://webmcp.devpost.com/rules. Live source snapshot and SHA-256: qa_evidence/feature-audit-2026-08-30/commands/devpost-live-source-verification.txt.</x:v>
      </x:c>
      <x:c r="Y61" s="14" t="str">
        <x:v>Double check whether MIRROR//LOOP covers all WebMCP Challenge submission bases.</x:v>
      </x:c>
    </x:row>
    <x:row r="62">
      <x:c r="A62" s="14" t="str">
        <x:v>SUB-004</x:v>
      </x:c>
      <x:c r="B62" s="14" t="str">
        <x:v>Required submission narrative</x:v>
      </x:c>
      <x:c r="C62" s="14" t="str">
        <x:v>Competition submission</x:v>
      </x:c>
      <x:c r="D62" s="14" t="str">
        <x:v>SUBMISSION.md; README.md</x:v>
      </x:c>
      <x:c r="E62" s="14" t="str">
        <x:v>Devpost project description</x:v>
      </x:c>
      <x:c r="F62" s="14" t="str">
        <x:v>Competition judge</x:v>
      </x:c>
      <x:c r="G62" s="14" t="str">
        <x:v>As a competition judge, I want a concise explanation of the WebMCP fit, UX improvement, new collaboration, and implementation, so that I can score the project quickly.</x:v>
      </x:c>
      <x:c r="H62" s="14" t="str">
        <x:v>A copy-ready English submission narrative explicitly answers all four required questions and links the live demo and source.</x:v>
      </x:c>
      <x:c r="I62" s="14" t="str">
        <x:v>FAIL — no copy-ready narrative answers the four required Devpost explanation prompts.</x:v>
      </x:c>
      <x:c r="J62" s="14" t="str">
        <x:v>Fixed</x:v>
      </x:c>
      <x:c r="K62" s="14" t="str">
        <x:v>Content audit</x:v>
      </x:c>
      <x:c r="L62" s="14" t="str">
        <x:v>Inspect repository for a copy-ready narrative; verify all four required explanations, live/source links, and accurate claims.</x:v>
      </x:c>
      <x:c r="M62" s="14" t="str">
        <x:v>FAIL — no submission artifact was found. Evidence: qa_evidence/feature-audit-2026-08-30/commands/devpost-submission-baseline.txt.</x:v>
      </x:c>
      <x:c r="N62" s="14" t="str">
        <x:v>Required submission description is absent.</x:v>
      </x:c>
      <x:c r="O62" s="14" t="str">
        <x:v>Critical</x:v>
      </x:c>
      <x:c r="P62" s="14" t="str">
        <x:v>Yes</x:v>
      </x:c>
      <x:c r="Q62" s="14" t="str">
        <x:v>Created a copy-ready English narrative that directly answers all four required Devpost questions.</x:v>
      </x:c>
      <x:c r="R62" s="14" t="str">
        <x:v>SUBMISSION.md; scripts/validate-submission.mjs</x:v>
      </x:c>
      <x:c r="S62" s="14" t="str">
        <x:v>c6e6b0f</x:v>
      </x:c>
      <x:c r="T62" s="14" t="str">
        <x:v>Run submission validation and inspect the four required headings against the official rules.</x:v>
      </x:c>
      <x:c r="U62" s="14" t="str">
        <x:v>PASS — all four required explanation sections and public links are present. Evidence: qa_evidence/feature-audit-2026-08-30/commands/devpost-submission-package-final.txt.</x:v>
      </x:c>
      <x:c r="V62" s="14" t="str">
        <x:v>Verified</x:v>
      </x:c>
      <x:c r="W62" s="14" t="str">
        <x:v>No</x:v>
      </x:c>
      <x:c r="X62" s="14" t="str">
        <x:v>Official source: https://webmcp.devpost.com/ and https://webmcp.devpost.com/rules. Live source snapshot and SHA-256: qa_evidence/feature-audit-2026-08-30/commands/devpost-live-source-verification.txt.</x:v>
      </x:c>
      <x:c r="Y62" s="14" t="str">
        <x:v>Double check whether MIRROR//LOOP covers all WebMCP Challenge submission bases.</x:v>
      </x:c>
    </x:row>
    <x:row r="63">
      <x:c r="A63" s="14" t="str">
        <x:v>SUB-005</x:v>
      </x:c>
      <x:c r="B63" s="14" t="str">
        <x:v>Under-three-minute narrated demo plan</x:v>
      </x:c>
      <x:c r="C63" s="14" t="str">
        <x:v>Competition submission</x:v>
      </x:c>
      <x:c r="D63" s="14" t="str">
        <x:v>SUBMISSION.md; WEBMCP_DEMO_SHOT_LIST.html; docs/demo/</x:v>
      </x:c>
      <x:c r="E63" s="14" t="str">
        <x:v>Public YouTube demo</x:v>
      </x:c>
      <x:c r="F63" s="14" t="str">
        <x:v>Competition judge</x:v>
      </x:c>
      <x:c r="G63" s="14" t="str">
        <x:v>As a competition judge, I want a short narrated demonstration, so that I can see the human-agent workflow and working tools without reconstructing it.</x:v>
      </x:c>
      <x:c r="H63" s="14" t="str">
        <x:v>A public YouTube video under three minutes demonstrates the live site, visible WebMCP readiness, agent-assisted reflection, card lookup, edition recommendation, and human-controlled conversion; the repo contains a timed shot list.</x:v>
      </x:c>
      <x:c r="I63" s="14" t="str">
        <x:v>A complete evidence-bounded 2:35 storyboard and second-by-second StrategiX recording contract exist. Its six-point verified core covers typed tools, human confirmation, browser-only scoring, the 144-card public matrix, human-controlled commerce, and the observed Chrome deployment. The Video URL remains PENDING.</x:v>
      </x:c>
      <x:c r="J63" s="14" t="str">
        <x:v>Needs Product Decision</x:v>
      </x:c>
      <x:c r="K63" s="14" t="str">
        <x:v>Artifact + content audit</x:v>
      </x:c>
      <x:c r="L63" s="14" t="str">
        <x:v>Check for a public YouTube URL and a timed script shorter than three minutes; verify the script demonstrates functioning WebMCP and avoids unlicensed media.</x:v>
      </x:c>
      <x:c r="M63" s="14" t="str">
        <x:v>PARTIAL PASS — timed plan, verified-core scope, narration, evidence map, excluded-claim list, safeguards, and publication checklist validate; public narrated/captioned video remains absent. Evidence: qa_evidence/submission_readiness/demo-shot-list-validation-2026-08-30.txt.</x:v>
      </x:c>
      <x:c r="N63" s="14" t="str">
        <x:v>No public YouTube demo URL under three minutes is available; the attached proposed architecture also contained undeployed claims that cannot appear in the recording.</x:v>
      </x:c>
      <x:c r="O63" s="14" t="str">
        <x:v>Critical</x:v>
      </x:c>
      <x:c r="P63" s="14" t="str">
        <x:v>Yes — create the local script now; recording/upload remains an operator action.</x:v>
      </x:c>
      <x:c r="Q63" s="14" t="str">
        <x:v>Added the canonical shot list and six-capability verified-core block. Scoped no-cloud language to reflection scoring, preserved WebMCP commerce boundaries, and added deterministic submission checks.</x:v>
      </x:c>
      <x:c r="R63" s="14" t="str">
        <x:v>WEBMCP_DEMO_SHOT_LIST.html; README.md; SUBMISSION.md; scripts/validate-submission.mjs; CHANGELOG.md; CONTINUITY.md; qa_evidence/submission_readiness/demo-shot-list-validation-2026-08-30.txt</x:v>
      </x:c>
      <x:c r="S63" s="14" t="str">
        <x:v>4313f6d; 45f85b7; b8f25e6</x:v>
      </x:c>
      <x:c r="T63" s="14" t="str">
        <x:v>Parse HTML; extract and validate the single XML contract; verify eight tool names, 155-second target, confirmation and publication boundaries; render in browser; run submission, competition-hardening, judge-panel, Node, site, and Go gates; after publication verify public YouTube URL, duration, audio, captions, and deployed behavior.</x:v>
      </x:c>
      <x:c r="U63" s="14" t="str">
        <x:v>PASS for the recording artifact and verified core: HTML/XML, eight-tool inventory, human confirmation, stable browser scoring, Cards 001–144, commerce boundary, Chrome evidence, 155-second timing, and browser rendering validated. PENDING for recording/upload/captions/public playback.</x:v>
      </x:c>
      <x:c r="V63" s="14" t="str">
        <x:v>Needs Product Decision</x:v>
      </x:c>
      <x:c r="W63" s="14" t="str">
        <x:v>Yes — operator must record/approve and publish the final video.</x:v>
      </x:c>
      <x:c r="X63" s="14" t="str">
        <x:v>Canonical recording plan: WEBMCP_DEMO_SHOT_LIST.html. “No cloud computation” applies only to deterministic scoring; email and commerce services remain separate. Undeployed claims remain excluded.</x:v>
      </x:c>
      <x:c r="Y63" s="14" t="str">
        <x:v>Double check whether MIRROR//LOOP covers all WebMCP Challenge submission bases.</x:v>
      </x:c>
    </x:row>
    <x:row r="64">
      <x:c r="A64" s="14" t="str">
        <x:v>SUB-006</x:v>
      </x:c>
      <x:c r="B64" s="14" t="str">
        <x:v>Pre-existing versus challenge work disclosure</x:v>
      </x:c>
      <x:c r="C64" s="14" t="str">
        <x:v>Competition eligibility</x:v>
      </x:c>
      <x:c r="D64" s="14" t="str">
        <x:v>README.md; SUBMISSION.md; git history</x:v>
      </x:c>
      <x:c r="E64" s="14" t="str">
        <x:v>Repository history</x:v>
      </x:c>
      <x:c r="F64" s="14" t="str">
        <x:v>Competition judge</x:v>
      </x:c>
      <x:c r="G64" s="14" t="str">
        <x:v>As a competition judge, I want the pre-existing product separated from challenge-period WebMCP work, so that I can verify meaningful development after the event began.</x:v>
      </x:c>
      <x:c r="H64" s="14" t="str">
        <x:v>Documentation distinguishes the pre-existing site from WebMCP additions and cites timestamped commits made after 2026-08-25.</x:v>
      </x:c>
      <x:c r="I64" s="14" t="str">
        <x:v>FAIL — timestamped commits after 2026-08-25 prove challenge-period work, but public documentation does not distinguish the pre-existing product from the new WebMCP extension.</x:v>
      </x:c>
      <x:c r="J64" s="14" t="str">
        <x:v>Fixed</x:v>
      </x:c>
      <x:c r="K64" s="14" t="str">
        <x:v>Git + documentation audit</x:v>
      </x:c>
      <x:c r="L64" s="14" t="str">
        <x:v>Inspect timestamped commits since 2026-08-25 and compare them with an explicit prior/new-work section in public documentation.</x:v>
      </x:c>
      <x:c r="M64" s="14" t="str">
        <x:v>FAIL — commit evidence exists; required disclosure is absent. Evidence: qa_evidence/feature-audit-2026-08-30/commands/devpost-submission-baseline.txt.</x:v>
      </x:c>
      <x:c r="N64" s="14" t="str">
        <x:v>Existing-project disclosure is missing despite strong git evidence.</x:v>
      </x:c>
      <x:c r="O64" s="14" t="str">
        <x:v>High</x:v>
      </x:c>
      <x:c r="P64" s="14" t="str">
        <x:v>Yes</x:v>
      </x:c>
      <x:c r="Q64" s="14" t="str">
        <x:v>Documented the pre-existing product separately from challenge-period WebMCP extensions and cited four timestamped commits.</x:v>
      </x:c>
      <x:c r="R64" s="14" t="str">
        <x:v>README.md; SUBMISSION.md; scripts/validate-submission.mjs</x:v>
      </x:c>
      <x:c r="S64" s="14" t="str">
        <x:v>c6e6b0f</x:v>
      </x:c>
      <x:c r="T64" s="14" t="str">
        <x:v>Compare the disclosure with git log dates and validate every cited commit.</x:v>
      </x:c>
      <x:c r="U64" s="14" t="str">
        <x:v>PASS — prior/new work is explicit and all cited challenge commits exist after 2026-08-25.</x:v>
      </x:c>
      <x:c r="V64" s="14" t="str">
        <x:v>Verified</x:v>
      </x:c>
      <x:c r="W64" s="14" t="str">
        <x:v>No</x:v>
      </x:c>
      <x:c r="X64" s="14" t="str">
        <x:v>Official source: https://webmcp.devpost.com/ and https://webmcp.devpost.com/rules. Live source snapshot and SHA-256: qa_evidence/feature-audit-2026-08-30/commands/devpost-live-source-verification.txt.</x:v>
      </x:c>
      <x:c r="Y64" s="14" t="str">
        <x:v>Double check whether MIRROR//LOOP covers all WebMCP Challenge submission bases.</x:v>
      </x:c>
    </x:row>
    <x:row r="65">
      <x:c r="A65" s="14" t="str">
        <x:v>SUB-007</x:v>
      </x:c>
      <x:c r="B65" s="14" t="str">
        <x:v>Devpost project draft readiness</x:v>
      </x:c>
      <x:c r="C65" s="14" t="str">
        <x:v>Competition operations</x:v>
      </x:c>
      <x:c r="D65" s="14" t="str">
        <x:v>SUBMISSION.md</x:v>
      </x:c>
      <x:c r="E65" s="14" t="str">
        <x:v>Devpost dashboard</x:v>
      </x:c>
      <x:c r="F65" s="14" t="str">
        <x:v>Entrant</x:v>
      </x:c>
      <x:c r="G65" s="14" t="str">
        <x:v>As an entrant, I want a prepared Devpost draft checklist, so that I can create the project without omitting a required field.</x:v>
      </x:c>
      <x:c r="H65" s="14" t="str">
        <x:v>A Devpost project exists or a complete field-by-field draft package is ready; external creation remains operator-confirmed.</x:v>
      </x:c>
      <x:c r="I65" s="14" t="str">
        <x:v>The copy-ready Devpost package is complete, but no Devpost project URL or submitted-state receipt is recorded.</x:v>
      </x:c>
      <x:c r="J65" s="14" t="str">
        <x:v>Needs Product Decision</x:v>
      </x:c>
      <x:c r="K65" s="14" t="str">
        <x:v>Authenticated browser + checklist audit</x:v>
      </x:c>
      <x:c r="L65" s="14" t="str">
        <x:v>Inspect the entrant dashboard for an existing project; compare local package with all required Devpost fields.</x:v>
      </x:c>
      <x:c r="M65" s="14" t="str">
        <x:v>FAIL — Devpost project creation and final submission remain unverified operator actions. Evidence: qa_evidence/submission_readiness/deadline-preflight-2026-08-30.txt.</x:v>
      </x:c>
      <x:c r="N65" s="14" t="str">
        <x:v>No saved Devpost project or green final-submission confirmation has been observed.</x:v>
      </x:c>
      <x:c r="O65" s="14" t="str">
        <x:v>Critical</x:v>
      </x:c>
      <x:c r="P65" s="14" t="str">
        <x:v>Yes — prepare local package; project creation requires operator confirmation.</x:v>
      </x:c>
      <x:c r="Q65" s="14" t="str">
        <x:v>Prepared the title, tagline, URLs, description, judging map, test path, video plan, and final field checklist. Devpost project creation remains external.</x:v>
      </x:c>
      <x:c r="R65" s="14" t="str">
        <x:v>SUBMISSION.md; scripts/validate-submission.mjs</x:v>
      </x:c>
      <x:c r="S65" s="14" t="str">
        <x:v>c6e6b0f</x:v>
      </x:c>
      <x:c r="T65" s="14" t="str">
        <x:v>Run local package validation; after confirmation, create the Devpost project and compare every field with SUBMISSION.md.</x:v>
      </x:c>
      <x:c r="U65" s="14" t="str">
        <x:v>NOT RUN — requires the authenticated entrant account.</x:v>
      </x:c>
      <x:c r="V65" s="14" t="str">
        <x:v>Needs Product Decision</x:v>
      </x:c>
      <x:c r="W65" s="14" t="str">
        <x:v>Yes — creating the Devpost project is an external representational action.</x:v>
      </x:c>
      <x:c r="X65" s="14" t="str">
        <x:v>Official source: https://webmcp.devpost.com/ and https://webmcp.devpost.com/rules. Live source snapshot and SHA-256: qa_evidence/feature-audit-2026-08-30/commands/devpost-live-source-verification.txt.</x:v>
      </x:c>
      <x:c r="Y65" s="14" t="str">
        <x:v>Double check whether MIRROR//LOOP covers all WebMCP Challenge submission bases.</x:v>
      </x:c>
    </x:row>
    <x:row r="66">
      <x:c r="A66" s="14" t="str">
        <x:v>SUB-008</x:v>
      </x:c>
      <x:c r="B66" s="14" t="str">
        <x:v>Eligibility, ownership, and third-party rights attestation</x:v>
      </x:c>
      <x:c r="C66" s="14" t="str">
        <x:v>Competition compliance</x:v>
      </x:c>
      <x:c r="D66" s="14" t="str">
        <x:v>LICENSE; README.md; SUBMISSION.md; THIRD_PARTY_NOTICES.md</x:v>
      </x:c>
      <x:c r="E66" s="14" t="str">
        <x:v>Submission attestation</x:v>
      </x:c>
      <x:c r="F66" s="14" t="str">
        <x:v>Entrant</x:v>
      </x:c>
      <x:c r="G66" s="14" t="str">
        <x:v>As an entrant, I want an explicit rights and eligibility checklist, so that I do not submit material I cannot lawfully enter.</x:v>
      </x:c>
      <x:c r="H66" s="14" t="str">
        <x:v>The operator confirms entrant eligibility and ownership/authorization; repository documents third-party services/assets and excludes private corpora and secrets.</x:v>
      </x:c>
      <x:c r="I66" s="14" t="str">
        <x:v>Third-party inventory and boundary documentation exist, but entrant eligibility, ownership/authorized use, demo-media rights, and any teammate acceptance remain operator attestations.</x:v>
      </x:c>
      <x:c r="J66" s="14" t="str">
        <x:v>Needs Product Decision</x:v>
      </x:c>
      <x:c r="K66" s="14" t="str">
        <x:v>Compliance checklist</x:v>
      </x:c>
      <x:c r="L66" s="14" t="str">
        <x:v>Review rules, licenses, asset/source statements, dependency/service notices, and identify attestations that only the operator can confirm.</x:v>
      </x:c>
      <x:c r="M66" s="14" t="str">
        <x:v>UNRESOLVED — code cannot establish personal eligibility or rights ownership. Evidence: qa_evidence/submission_readiness/deadline-preflight-2026-08-30.txt.</x:v>
      </x:c>
      <x:c r="N66" s="14" t="str">
        <x:v>Operator-only eligibility and rights attestations cannot be inferred from code.</x:v>
      </x:c>
      <x:c r="O66" s="14" t="str">
        <x:v>Critical</x:v>
      </x:c>
      <x:c r="P66" s="14" t="str">
        <x:v>Yes — add a checklist and third-party notice; operator must confirm attestations.</x:v>
      </x:c>
      <x:c r="Q66" s="14" t="str">
        <x:v>Added third-party service/data boundaries and an explicit operator rights and eligibility checklist. Human attestations remain unresolved.</x:v>
      </x:c>
      <x:c r="R66" s="14" t="str">
        <x:v>THIRD_PARTY_NOTICES.md; README.md; SUBMISSION.md; scripts/validate-submission.mjs</x:v>
      </x:c>
      <x:c r="S66" s="14" t="str">
        <x:v>c6e6b0f</x:v>
      </x:c>
      <x:c r="T66" s="14" t="str">
        <x:v>Run local validation; operator completes every attestation and final public-repository scan.</x:v>
      </x:c>
      <x:c r="U66" s="14" t="str">
        <x:v>NOT RUN — requires explicit entrant attestation.</x:v>
      </x:c>
      <x:c r="V66" s="14" t="str">
        <x:v>Needs Product Decision</x:v>
      </x:c>
      <x:c r="W66" s="14" t="str">
        <x:v>Yes — entrant age/location/authority and asset rights.</x:v>
      </x:c>
      <x:c r="X66" s="14" t="str">
        <x:v>Official source: https://webmcp.devpost.com/ and https://webmcp.devpost.com/rules. Live source snapshot and SHA-256: qa_evidence/feature-audit-2026-08-30/commands/devpost-live-source-verification.txt.</x:v>
      </x:c>
      <x:c r="Y66" s="14" t="str">
        <x:v>Double check whether MIRROR//LOOP covers all WebMCP Challenge submission bases.</x:v>
      </x:c>
    </x:row>
    <x:row r="67">
      <x:c r="A67" s="14" t="str">
        <x:v>SUB-009</x:v>
      </x:c>
      <x:c r="B67" s="14" t="str">
        <x:v>Judging-period availability and release freeze</x:v>
      </x:c>
      <x:c r="C67" s="14" t="str">
        <x:v>Competition operations</x:v>
      </x:c>
      <x:c r="D67" s="14" t="str">
        <x:v>SUBMISSION.md; README.md</x:v>
      </x:c>
      <x:c r="E67" s="14" t="str">
        <x:v>Live service and repository</x:v>
      </x:c>
      <x:c r="F67" s="14" t="str">
        <x:v>Competition judge</x:v>
      </x:c>
      <x:c r="G67" s="14" t="str">
        <x:v>As a competition judge, I want stable unrestricted access during judging, so that the evaluated project does not change or disappear.</x:v>
      </x:c>
      <x:c r="H67" s="14" t="str">
        <x:v>Documentation defines the judging window, free-access checks, release tag, freeze procedure, and fork-only post-deadline development policy.</x:v>
      </x:c>
      <x:c r="I67" s="14" t="str">
        <x:v>FAIL — no documented release tag, deadline freeze, judging-window availability checks, or fork-only continuation plan exists.</x:v>
      </x:c>
      <x:c r="J67" s="14" t="str">
        <x:v>Fixed</x:v>
      </x:c>
      <x:c r="K67" s="14" t="str">
        <x:v>Operations documentation audit</x:v>
      </x:c>
      <x:c r="L67" s="14" t="str">
        <x:v>Inspect docs for deadline, judging window, availability checks, release tag, freeze owner, and post-deadline fork policy.</x:v>
      </x:c>
      <x:c r="M67" s="14" t="str">
        <x:v>FAIL — freeze/judging terms are absent from current docs. Evidence: qa_evidence/feature-audit-2026-08-30/commands/devpost-submission-baseline.txt.</x:v>
      </x:c>
      <x:c r="N67" s="14" t="str">
        <x:v>The project lacks a judging-period stability plan.</x:v>
      </x:c>
      <x:c r="O67" s="14" t="str">
        <x:v>High</x:v>
      </x:c>
      <x:c r="P67" s="14" t="str">
        <x:v>Yes</x:v>
      </x:c>
      <x:c r="Q67" s="14" t="str">
        <x:v>Added deadline, judging window, release tag, anonymous-access checks, no-change freeze, and fork-only continuation procedure.</x:v>
      </x:c>
      <x:c r="R67" s="14" t="str">
        <x:v>SUBMISSION.md; README.md; scripts/validate-submission.mjs</x:v>
      </x:c>
      <x:c r="S67" s="14" t="str">
        <x:v>c6e6b0f</x:v>
      </x:c>
      <x:c r="T67" s="14" t="str">
        <x:v>Run submission validation and inspect the freeze steps and dates against the official rules.</x:v>
      </x:c>
      <x:c r="U67" s="14" t="str">
        <x:v>PASS — freeze and judging-window plan validated. Evidence: qa_evidence/feature-audit-2026-08-30/commands/devpost-submission-package-final.txt.</x:v>
      </x:c>
      <x:c r="V67" s="14" t="str">
        <x:v>Verified</x:v>
      </x:c>
      <x:c r="W67" s="14" t="str">
        <x:v>No</x:v>
      </x:c>
      <x:c r="X67" s="14" t="str">
        <x:v>Official source: https://webmcp.devpost.com/ and https://webmcp.devpost.com/rules. Live source snapshot and SHA-256: qa_evidence/feature-audit-2026-08-30/commands/devpost-live-source-verification.txt.</x:v>
      </x:c>
      <x:c r="Y67" s="14" t="str">
        <x:v>Double check whether MIRROR//LOOP covers all WebMCP Challenge submission bases.</x:v>
      </x:c>
    </x:row>
    <x:row r="68">
      <x:c r="A68" s="14" t="str">
        <x:v>SUB-010</x:v>
      </x:c>
      <x:c r="B68" s="14" t="str">
        <x:v>Four-criterion judge orientation</x:v>
      </x:c>
      <x:c r="C68" s="14" t="str">
        <x:v>Competition presentation</x:v>
      </x:c>
      <x:c r="D68" s="14" t="str">
        <x:v>README.md; SUBMISSION.md; qa_evidence/</x:v>
      </x:c>
      <x:c r="E68" s="14" t="str">
        <x:v>README and Devpost description</x:v>
      </x:c>
      <x:c r="F68" s="14" t="str">
        <x:v>Competition judge</x:v>
      </x:c>
      <x:c r="G68" s="14" t="str">
        <x:v>As a competition judge, I want evidence organized around WebMCP leverage, execution, impact, and creativity, so that each scoring dimension is immediately supported.</x:v>
      </x:c>
      <x:c r="H68" s="14" t="str">
        <x:v>The submission maps concrete product behavior and evidence to all four equally weighted judging criteria without unsupported claims.</x:v>
      </x:c>
      <x:c r="I68" s="14" t="str">
        <x:v>FAIL — implementation evidence is strong, but no judge-facing map addresses all four equal criteria.</x:v>
      </x:c>
      <x:c r="J68" s="14" t="str">
        <x:v>Fixed</x:v>
      </x:c>
      <x:c r="K68" s="14" t="str">
        <x:v>Content + evidence audit</x:v>
      </x:c>
      <x:c r="L68" s="14" t="str">
        <x:v>Compare README/submission copy and evidence pointers with each official judging criterion; reject unsupported superlatives.</x:v>
      </x:c>
      <x:c r="M68" s="14" t="str">
        <x:v>FAIL — no criterion map was found. Evidence: qa_evidence/feature-audit-2026-08-30/commands/devpost-submission-baseline.txt.</x:v>
      </x:c>
      <x:c r="N68" s="14" t="str">
        <x:v>Judges must reconstruct the scoring case from source and QA artifacts.</x:v>
      </x:c>
      <x:c r="O68" s="14" t="str">
        <x:v>High</x:v>
      </x:c>
      <x:c r="P68" s="14" t="str">
        <x:v>Yes</x:v>
      </x:c>
      <x:c r="Q68" s="14" t="str">
        <x:v>Added an evidence-bounded map for WebMCP Leverage, Execution, Potential Impact, and Creativity &amp; Ambition.</x:v>
      </x:c>
      <x:c r="R68" s="14" t="str">
        <x:v>SUBMISSION.md; scripts/validate-submission.mjs</x:v>
      </x:c>
      <x:c r="S68" s="14" t="str">
        <x:v>c6e6b0f</x:v>
      </x:c>
      <x:c r="T68" s="14" t="str">
        <x:v>Run submission validation and inspect all criterion sections for evidence pointers and unsupported outcome claims.</x:v>
      </x:c>
      <x:c r="U68" s="14" t="str">
        <x:v>PASS — all four equal criteria are present; impact is explicitly described as unmeasured. Evidence: qa_evidence/feature-audit-2026-08-30/commands/devpost-submission-package-final.txt.</x:v>
      </x:c>
      <x:c r="V68" s="14" t="str">
        <x:v>Verified</x:v>
      </x:c>
      <x:c r="W68" s="14" t="str">
        <x:v>No</x:v>
      </x:c>
      <x:c r="X68" s="14" t="str">
        <x:v>Official source: https://webmcp.devpost.com/ and https://webmcp.devpost.com/rules. Live source snapshot and SHA-256: qa_evidence/feature-audit-2026-08-30/commands/devpost-live-source-verification.txt.</x:v>
      </x:c>
      <x:c r="Y68" s="14" t="str">
        <x:v>Double check whether MIRROR//LOOP covers all WebMCP Challenge submission bases.</x:v>
      </x:c>
    </x:row>
    <x:row r="69">
      <x:c r="A69" s="14" t="str">
        <x:v>SUB-011</x:v>
      </x:c>
      <x:c r="B69" s="14" t="str">
        <x:v>ChatGPT in-app-browser compatibility evidence</x:v>
      </x:c>
      <x:c r="C69" s="14" t="str">
        <x:v>Competition compatibility</x:v>
      </x:c>
      <x:c r="D69" s="14" t="str">
        <x:v>web/index.html; web/app.js; web/lib/webmcp.js</x:v>
      </x:c>
      <x:c r="E69" s="14" t="str">
        <x:v>ChatGPT in-app browser</x:v>
      </x:c>
      <x:c r="F69" s="14" t="str">
        <x:v>Competition judge using ChatGPT</x:v>
      </x:c>
      <x:c r="G69" s="14" t="str">
        <x:v>As a ChatGPT in-app-browser judge, I want the page to expose WebMCP when that host supports it and fall back honestly when it does not, so that I can still understand and use the experience.</x:v>
      </x:c>
      <x:c r="H69" s="14" t="str">
        <x:v>Actual ChatGPT in-app-browser support is tested, or the submission clearly directs judges to the independently verified Chrome path accepted by the rules; unsupported hosts show the direct-use fallback.</x:v>
      </x:c>
      <x:c r="I69" s="14" t="str">
        <x:v>FAIL WITH QUALIFICATION — connected Chrome satisfies the rules’ accepted browser route; Codex in-app browser shows the honest direct-use fallback, but actual ChatGPT in-app-browser capability is unresolved and current docs do not direct judges to Chrome.</x:v>
      </x:c>
      <x:c r="J69" s="14" t="str">
        <x:v>Fixed</x:v>
      </x:c>
      <x:c r="K69" s="14" t="str">
        <x:v>Browser compatibility</x:v>
      </x:c>
      <x:c r="L69" s="14" t="str">
        <x:v>Open production in the available in-app browser and in connected Chrome; record capability state without equating Codex browser behavior with ChatGPT behavior.</x:v>
      </x:c>
      <x:c r="M69" s="14" t="str">
        <x:v>FAIL WITH QUALIFICATION — Chrome path passes; ChatGPT IAB is unresolved and no compatibility instruction exists. Evidence: qa_evidence/feature-audit-2026-08-30/browser/devpost-dashboard-and-browser-state.json.</x:v>
      </x:c>
      <x:c r="N69" s="14" t="str">
        <x:v>Judge instructions do not distinguish the verified Chrome path from unresolved ChatGPT in-app-browser support.</x:v>
      </x:c>
      <x:c r="O69" s="14" t="str">
        <x:v>Medium</x:v>
      </x:c>
      <x:c r="P69" s="14" t="str">
        <x:v>Yes</x:v>
      </x:c>
      <x:c r="Q69" s="14" t="str">
        <x:v>Documented connected Chrome as the verified rules-compliant path, preserved honest fallback behavior, and kept actual ChatGPT in-app support unresolved.</x:v>
      </x:c>
      <x:c r="R69" s="14" t="str">
        <x:v>README.md; SUBMISSION.md</x:v>
      </x:c>
      <x:c r="S69" s="14" t="str">
        <x:v>c6e6b0f</x:v>
      </x:c>
      <x:c r="T69" s="14" t="str">
        <x:v>Read the judge path; compare connected-Chrome evidence and unsupported-host fallback evidence.</x:v>
      </x:c>
      <x:c r="U69" s="14" t="str">
        <x:v>PASS WITH QUALIFICATION — the accepted Chrome path is explicit and verified; actual ChatGPT IAB remains correctly labeled unresolved. Evidence: qa_evidence/feature-audit-2026-08-30/browser/devpost-dashboard-and-browser-state.json.</x:v>
      </x:c>
      <x:c r="V69" s="14" t="str">
        <x:v>Verified</x:v>
      </x:c>
      <x:c r="W69" s="14" t="str">
        <x:v>No</x:v>
      </x:c>
      <x:c r="X69" s="14" t="str">
        <x:v>Official source: https://webmcp.devpost.com/ and https://webmcp.devpost.com/rules. Live source snapshot and SHA-256: qa_evidence/feature-audit-2026-08-30/commands/devpost-live-source-verification.txt.</x:v>
      </x:c>
      <x:c r="Y69" s="14" t="str">
        <x:v>Double check whether MIRROR//LOOP covers all WebMCP Challenge submission bases.</x:v>
      </x:c>
    </x:row>
    <x:row r="70">
      <x:c r="A70" s="14" t="str">
        <x:v>RES-001</x:v>
      </x:c>
      <x:c r="B70" s="14" t="str">
        <x:v>Every official resource link is reviewed</x:v>
      </x:c>
      <x:c r="C70" s="14" t="str">
        <x:v>Competition resources</x:v>
      </x:c>
      <x:c r="D70" s="14" t="str">
        <x:v>RESOURCE_REVIEW.html; qa_evidence/feature-audit-2026-08-30/commands/webmcp-resources-link-audit.json</x:v>
      </x:c>
      <x:c r="E70" s="14" t="str">
        <x:v>https://webmcp.devpost.com/resources</x:v>
      </x:c>
      <x:c r="F70" s="14" t="str">
        <x:v>Entrant and technical judge</x:v>
      </x:c>
      <x:c r="G70" s="14" t="str">
        <x:v>As an entrant, I want every official challenge resource assessed, so that useful guidance is applied and irrelevant platform migrations are avoided.</x:v>
      </x:c>
      <x:c r="H70" s="14" t="str">
        <x:v>All 36 resource-card links have availability evidence, a relevance decision, and an applied/deferred/not-applicable rationale.</x:v>
      </x:c>
      <x:c r="I70" s="14" t="str">
        <x:v>PASS — all 36 official resource cards have availability evidence and an explicit applied, reviewed, or not-applicable disposition.</x:v>
      </x:c>
      <x:c r="J70" s="14" t="str">
        <x:v>Fixed</x:v>
      </x:c>
      <x:c r="K70" s="14" t="str">
        <x:v>Link inventory + content review</x:v>
      </x:c>
      <x:c r="L70" s="14" t="str">
        <x:v>Fetch every resource-card link; record status/title; classify each resource and verify every applied recommendation maps to code, tests, or submission documentation.</x:v>
      </x:c>
      <x:c r="M70" s="14" t="str">
        <x:v>PASS — 36 links inventoried; 35 returned HTTP 200 and the npm package returned an automated-fetch anti-bot 403 that is explicitly qualified.</x:v>
      </x:c>
      <x:c r="N70" s="14" t="str"/>
      <x:c r="O70" s="14" t="str">
        <x:v>Medium</x:v>
      </x:c>
      <x:c r="P70" s="14" t="str">
        <x:v>Yes</x:v>
      </x:c>
      <x:c r="Q70" s="14" t="str">
        <x:v>Added a public resource-by-resource matrix with implementation decisions, resulting enhancements, evidence path, and digest.</x:v>
      </x:c>
      <x:c r="R70" s="14" t="str">
        <x:v>RESOURCE_REVIEW.html; scripts/validate-submission.mjs; README.md; SUBMISSION.md</x:v>
      </x:c>
      <x:c r="S70" s="14" t="str">
        <x:v>fcde886</x:v>
      </x:c>
      <x:c r="T70" s="14" t="str">
        <x:v>Parse RESOURCE_REVIEW.html; run npm run validate:submission; confirm 36 classified resources and zero unclassified entries.</x:v>
      </x:c>
      <x:c r="U70" s="14" t="str">
        <x:v>PASS — HTML parsed; submission validator found the 36-resource contract and representative official resources. Evidence: qa_evidence/feature-audit-2026-08-30/commands/webmcp-resources-final-gates.txt.</x:v>
      </x:c>
      <x:c r="V70" s="14" t="str">
        <x:v>Verified</x:v>
      </x:c>
      <x:c r="W70" s="14" t="str">
        <x:v>No</x:v>
      </x:c>
      <x:c r="X70" s="14" t="str">
        <x:v>Official resource source: https://webmcp.devpost.com/resources.</x:v>
      </x:c>
      <x:c r="Y70" s="14" t="str">
        <x:v>Check every link on the WebMCP Challenge resources page to enhance the submission.</x:v>
      </x:c>
    </x:row>
    <x:row r="71">
      <x:c r="A71" s="14" t="str">
        <x:v>RES-002</x:v>
      </x:c>
      <x:c r="B71" s="14" t="str">
        <x:v>Registration promise and lifecycle failures</x:v>
      </x:c>
      <x:c r="C71" s="14" t="str">
        <x:v>WebMCP lifecycle</x:v>
      </x:c>
      <x:c r="D71" s="14" t="str">
        <x:v>web/lib/webmcp.js; web/tests/webmcp.test.mjs</x:v>
      </x:c>
      <x:c r="E71" s="14" t="str">
        <x:v>Page initialization and teardown</x:v>
      </x:c>
      <x:c r="F71" s="14" t="str">
        <x:v>WebMCP-enabled visitor</x:v>
      </x:c>
      <x:c r="G71" s="14" t="str">
        <x:v>As a visitor, I want the readiness badge to appear only after every tool registers successfully, so that the page never claims agent readiness after a rejected registration.</x:v>
      </x:c>
      <x:c r="H71" s="14" t="str">
        <x:v>Every registerTool promise is awaited; rejection aborts partial registration, reports fallback/error state, and teardown aborts the registration controller.</x:v>
      </x:c>
      <x:c r="I71" s="14" t="str">
        <x:v>PASS — every registerTool promise is awaited; readiness appears only after all eight resolve; rejection aborts partial registration and reports direct-mode fallback.</x:v>
      </x:c>
      <x:c r="J71" s="14" t="str">
        <x:v>Fixed</x:v>
      </x:c>
      <x:c r="K71" s="14" t="str">
        <x:v>Code review + automated lifecycle test</x:v>
      </x:c>
      <x:c r="L71" s="14" t="str">
        <x:v>Use an asynchronous registerTool fixture; verify ready status only after all promises resolve, rejection aborts partial registrations, and teardown unregisters through AbortSignal.</x:v>
      </x:c>
      <x:c r="M71" s="14" t="str">
        <x:v>PASS — asynchronous resolution and rejection fixtures prove truthful readiness, AbortSignal cleanup, and fallback status.</x:v>
      </x:c>
      <x:c r="N71" s="14" t="str"/>
      <x:c r="O71" s="14" t="str">
        <x:v>High</x:v>
      </x:c>
      <x:c r="P71" s="14" t="str">
        <x:v>Yes</x:v>
      </x:c>
      <x:c r="Q71" s="14" t="str">
        <x:v>Made registration asynchronous, awaited each browser registration, aborted the shared controller on failure, and handled installer rejection before status reporting.</x:v>
      </x:c>
      <x:c r="R71" s="14" t="str">
        <x:v>web/lib/webmcp.js; web/tests/webmcp.test.mjs; web/app.js; web/index.html</x:v>
      </x:c>
      <x:c r="S71" s="14" t="str">
        <x:v>fcde886</x:v>
      </x:c>
      <x:c r="T71" s="14" t="str">
        <x:v>Run npm test; deploy Hosting; open the fresh production build in isolated Chrome with WebMCP enabled and inspect the status and model context.</x:v>
      </x:c>
      <x:c r="U71" s="14" t="str">
        <x:v>PASS — 25 Node tests pass and isolated Chrome reports WebMCP ready · 8 tools on app bundle 20260830-4. Evidence: qa_evidence/feature-audit-2026-08-30/commands/webmcp-resources-final-gates.txt; qa_evidence/feature-audit-2026-08-30/browser/production-webmcp-resource-audit-isolated.json.</x:v>
      </x:c>
      <x:c r="V71" s="14" t="str">
        <x:v>Verified</x:v>
      </x:c>
      <x:c r="W71" s="14" t="str">
        <x:v>No</x:v>
      </x:c>
      <x:c r="X71" s="14" t="str">
        <x:v>Official resource source: https://webmcp.devpost.com/resources.</x:v>
      </x:c>
      <x:c r="Y71" s="14" t="str">
        <x:v>Check every link on the WebMCP Challenge resources page to enhance the submission.</x:v>
      </x:c>
    </x:row>
    <x:row r="72">
      <x:c r="A72" s="14" t="str">
        <x:v>RES-003</x:v>
      </x:c>
      <x:c r="B72" s="14" t="str">
        <x:v>Official WebMCP character budgets</x:v>
      </x:c>
      <x:c r="C72" s="14" t="str">
        <x:v>WebMCP security and reliability</x:v>
      </x:c>
      <x:c r="D72" s="14" t="str">
        <x:v>web/lib/webmcp.js; web/tests/webmcp.test.mjs</x:v>
      </x:c>
      <x:c r="E72" s="14" t="str">
        <x:v>All eight tools</x:v>
      </x:c>
      <x:c r="F72" s="14" t="str">
        <x:v>Agent-assisted visitor</x:v>
      </x:c>
      <x:c r="G72" s="14" t="str">
        <x:v>As an agent-assisted visitor, I want concise tool contracts and outputs, so that agents can use them without guardrail or context failures.</x:v>
      </x:c>
      <x:c r="H72" s="14" t="str">
        <x:v>Names are at most 30 characters, descriptions at most 500, parameter names at most 30, parameter descriptions at most 150, and every individual output at most 1500 characters.</x:v>
      </x:c>
      <x:c r="I72" s="14" t="str">
        <x:v>PASS — all names and descriptions fit the documented budgets and every result is rejected before returning more than 1,500 characters.</x:v>
      </x:c>
      <x:c r="J72" s="14" t="str">
        <x:v>Fixed</x:v>
      </x:c>
      <x:c r="K72" s="14" t="str">
        <x:v>Automated contract-budget test</x:v>
      </x:c>
      <x:c r="L72" s="14" t="str">
        <x:v>Measure every registered name/description/parameter; execute oversized fixture output; verify bounded error instead of returning content above 1500 characters.</x:v>
      </x:c>
      <x:c r="M72" s="14" t="str">
        <x:v>PASS — registered contracts fit all four descriptive limits and an oversized adapter result returns a bounded tool error.</x:v>
      </x:c>
      <x:c r="N72" s="14" t="str"/>
      <x:c r="O72" s="14" t="str">
        <x:v>Medium</x:v>
      </x:c>
      <x:c r="P72" s="14" t="str">
        <x:v>Yes</x:v>
      </x:c>
      <x:c r="Q72" s="14" t="str">
        <x:v>Added one exported character-budget contract, a runtime result-length gate, and complete budget regression coverage.</x:v>
      </x:c>
      <x:c r="R72" s="14" t="str">
        <x:v>web/lib/webmcp.js; web/tests/webmcp.test.mjs</x:v>
      </x:c>
      <x:c r="S72" s="14" t="str">
        <x:v>fcde886</x:v>
      </x:c>
      <x:c r="T72" s="14" t="str">
        <x:v>Run npm test and inspect the contract-budget and oversized-output cases.</x:v>
      </x:c>
      <x:c r="U72" s="14" t="str">
        <x:v>PASS — budget tests pass within the 25-test web suite. Evidence: qa_evidence/feature-audit-2026-08-30/commands/webmcp-resources-final-gates.txt.</x:v>
      </x:c>
      <x:c r="V72" s="14" t="str">
        <x:v>Verified</x:v>
      </x:c>
      <x:c r="W72" s="14" t="str">
        <x:v>No</x:v>
      </x:c>
      <x:c r="X72" s="14" t="str">
        <x:v>Official resource source: https://webmcp.devpost.com/resources.</x:v>
      </x:c>
      <x:c r="Y72" s="14" t="str">
        <x:v>Check every link on the WebMCP Challenge resources page to enhance the submission.</x:v>
      </x:c>
    </x:row>
    <x:row r="73">
      <x:c r="A73" s="14" t="str">
        <x:v>RES-004</x:v>
      </x:c>
      <x:c r="B73" s="14" t="str">
        <x:v>WebMCP intent and call-order eval corpus</x:v>
      </x:c>
      <x:c r="C73" s="14" t="str">
        <x:v>WebMCP evaluation</x:v>
      </x:c>
      <x:c r="D73" s="14" t="str">
        <x:v>web/evals/webmcp-evals.json; scripts/validate-webmcp-evals.mjs</x:v>
      </x:c>
      <x:c r="E73" s="14" t="str">
        <x:v>Agent evaluation dataset</x:v>
      </x:c>
      <x:c r="F73" s="14" t="str">
        <x:v>Competition judge and maintainer</x:v>
      </x:c>
      <x:c r="G73" s="14" t="str">
        <x:v>As a judge or maintainer, I want representative intent-to-tool evaluations, so that tool selection, arguments, ordering, and forbidden actions are reviewable beyond unit tests.</x:v>
      </x:c>
      <x:c r="H73" s="14" t="str">
        <x:v>A machine-readable eval corpus covers all eight tools, multi-step flows, malformed/ambiguous intents, and no-tool payment/email boundaries; deterministic validation checks tool and schema references.</x:v>
      </x:c>
      <x:c r="I73" s="14" t="str">
        <x:v>PASS WITH QUALIFICATION — a 15-case expected-call corpus covers all eight tools, two ordered flows, and five no-tool boundaries; a live model run remains separate.</x:v>
      </x:c>
      <x:c r="J73" s="14" t="str">
        <x:v>Fixed</x:v>
      </x:c>
      <x:c r="K73" s="14" t="str">
        <x:v>Eval dataset validation</x:v>
      </x:c>
      <x:c r="L73" s="14" t="str">
        <x:v>Inspect eval cases for all tools and critical sequences; validate expected tool names/arguments against the live definitions; retain model-run status separately from deterministic validation.</x:v>
      </x:c>
      <x:c r="M73" s="14" t="str">
        <x:v>PASS — deterministic validator confirms 15 unique cases, all eight tools, two sequences, bounded arguments, and human-choice/email/cart/payment/ambiguity boundaries.</x:v>
      </x:c>
      <x:c r="N73" s="14" t="str"/>
      <x:c r="O73" s="14" t="str">
        <x:v>High</x:v>
      </x:c>
      <x:c r="P73" s="14" t="str">
        <x:v>Yes</x:v>
      </x:c>
      <x:c r="Q73" s="14" t="str">
        <x:v>Added an official-style machine-readable eval corpus and validator without misrepresenting deterministic validation as host-model performance.</x:v>
      </x:c>
      <x:c r="R73" s="14" t="str">
        <x:v>web/evals/webmcp-evals.json; scripts/validate-webmcp-evals.mjs; package.json; README.md; SUBMISSION.md</x:v>
      </x:c>
      <x:c r="S73" s="14" t="str">
        <x:v>fcde886</x:v>
      </x:c>
      <x:c r="T73" s="14" t="str">
        <x:v>Run npm run test:webmcp:evals and npm run validate:submission.</x:v>
      </x:c>
      <x:c r="U73" s="14" t="str">
        <x:v>PASS — 15 cases, eight tools, and two ordered sequences validate; documentation preserves the live-model qualification. Evidence: qa_evidence/feature-audit-2026-08-30/commands/webmcp-resources-final-gates.txt.</x:v>
      </x:c>
      <x:c r="V73" s="14" t="str">
        <x:v>Verified</x:v>
      </x:c>
      <x:c r="W73" s="14" t="str">
        <x:v>No</x:v>
      </x:c>
      <x:c r="X73" s="14" t="str">
        <x:v>Official resource source: https://webmcp.devpost.com/resources.</x:v>
      </x:c>
      <x:c r="Y73" s="14" t="str">
        <x:v>Check every link on the WebMCP Challenge resources page to enhance the submission.</x:v>
      </x:c>
    </x:row>
    <x:row r="74">
      <x:c r="A74" s="14" t="str">
        <x:v>RES-005</x:v>
      </x:c>
      <x:c r="B74" s="14" t="str">
        <x:v>Current Chrome DevTools WebMCP judge path</x:v>
      </x:c>
      <x:c r="C74" s="14" t="str">
        <x:v>Competition reproducibility</x:v>
      </x:c>
      <x:c r="D74" s="14" t="str">
        <x:v>README.md; SUBMISSION.md</x:v>
      </x:c>
      <x:c r="E74" s="14" t="str">
        <x:v>Chrome DevTools Application → WebMCP</x:v>
      </x:c>
      <x:c r="F74" s="14" t="str">
        <x:v>Technical judge</x:v>
      </x:c>
      <x:c r="G74" s="14" t="str">
        <x:v>As a technical judge, I want exact current DevTools instructions, so that I can list, invoke, filter, and diagnose the eight tools quickly.</x:v>
      </x:c>
      <x:c r="H74" s="14" t="str">
        <x:v>Documentation names Chrome 149+, the testing flag, Application → WebMCP pane, Available/Invoked Tools, manual Run tool, schema errors, and the eight-tool smoke path.</x:v>
      </x:c>
      <x:c r="I74" s="14" t="str">
        <x:v>PASS — judge instructions now identify Chrome 149+, the testing flag, Application → WebMCP, Available Tools, Invoked Tools, Run tool, and schema diagnostics.</x:v>
      </x:c>
      <x:c r="J74" s="14" t="str">
        <x:v>Fixed</x:v>
      </x:c>
      <x:c r="K74" s="14" t="str">
        <x:v>Documentation audit</x:v>
      </x:c>
      <x:c r="L74" s="14" t="str">
        <x:v>Compare judge instructions with the official DevTools guide and verify every current panel/action term is present.</x:v>
      </x:c>
      <x:c r="M74" s="14" t="str">
        <x:v>PASS — README and submission package contain every current DevTools term and an executable eight-tool path.</x:v>
      </x:c>
      <x:c r="N74" s="14" t="str"/>
      <x:c r="O74" s="14" t="str">
        <x:v>Medium</x:v>
      </x:c>
      <x:c r="P74" s="14" t="str">
        <x:v>Yes</x:v>
      </x:c>
      <x:c r="Q74" s="14" t="str">
        <x:v>Replaced generic inspection guidance with the current Chrome DevTools WebMCP workflow and explicit malformed-schema check.</x:v>
      </x:c>
      <x:c r="R74" s="14" t="str">
        <x:v>README.md; SUBMISSION.md; scripts/validate-submission.mjs</x:v>
      </x:c>
      <x:c r="S74" s="14" t="str">
        <x:v>fcde886</x:v>
      </x:c>
      <x:c r="T74" s="14" t="str">
        <x:v>Run npm run validate:submission and inspect the native judge path against the official DevTools resource.</x:v>
      </x:c>
      <x:c r="U74" s="14" t="str">
        <x:v>PASS — deterministic submission validation confirms every required panel/action term. Evidence: qa_evidence/feature-audit-2026-08-30/commands/webmcp-resources-final-gates.txt.</x:v>
      </x:c>
      <x:c r="V74" s="14" t="str">
        <x:v>Verified</x:v>
      </x:c>
      <x:c r="W74" s="14" t="str">
        <x:v>No</x:v>
      </x:c>
      <x:c r="X74" s="14" t="str">
        <x:v>Official resource source: https://webmcp.devpost.com/resources.</x:v>
      </x:c>
      <x:c r="Y74" s="14" t="str">
        <x:v>Check every link on the WebMCP Challenge resources page to enhance the submission.</x:v>
      </x:c>
    </x:row>
    <x:row r="75">
      <x:c r="A75" s="14" t="str">
        <x:v>RES-006</x:v>
      </x:c>
      <x:c r="B75" s="14" t="str">
        <x:v>Origin isolation and tools permission policy</x:v>
      </x:c>
      <x:c r="C75" s="14" t="str">
        <x:v>WebMCP platform security</x:v>
      </x:c>
      <x:c r="D75" s="14" t="str">
        <x:v>firebase.json; web/index.html</x:v>
      </x:c>
      <x:c r="E75" s="14" t="str">
        <x:v>Production response headers</x:v>
      </x:c>
      <x:c r="F75" s="14" t="str">
        <x:v>WebMCP-enabled visitor</x:v>
      </x:c>
      <x:c r="G75" s="14" t="str">
        <x:v>As a WebMCP-enabled visitor, I want the page served under an explicit same-origin tool policy, so that tool availability and cross-origin isolation are intentional.</x:v>
      </x:c>
      <x:c r="H75" s="14" t="str">
        <x:v>Production does not disable origin isolation, keeps tools at self, exposes no cross-origin iframe permission, and documents that default self is sufficient; explicit headers may be used when safely verified.</x:v>
      </x:c>
      <x:c r="I75" s="14" t="str">
        <x:v>PASS WITH QUALIFICATION — production WebMCP works; no Origin-Agent-Cluster ?0 is present; Permissions-Policy omits tools, whose documented default is self; no cross-origin iframe grants exist.</x:v>
      </x:c>
      <x:c r="J75" s="14" t="str">
        <x:v>Verified</x:v>
      </x:c>
      <x:c r="K75" s="14" t="str">
        <x:v>Header and source review</x:v>
      </x:c>
      <x:c r="L75" s="14" t="str">
        <x:v>Inspect production headers, firebase configuration, iframe permissions, document.domain use, and connected-Chrome registration evidence.</x:v>
      </x:c>
      <x:c r="M75" s="14" t="str">
        <x:v>PASS — official default-self behavior applies and connected Chrome registers all eight tools; no disabling header or cross-origin grant was found.</x:v>
      </x:c>
      <x:c r="N75" s="14" t="str"/>
      <x:c r="O75" s="14" t="str">
        <x:v>None</x:v>
      </x:c>
      <x:c r="P75" s="14" t="str">
        <x:v>No</x:v>
      </x:c>
      <x:c r="Q75" s="14" t="str"/>
      <x:c r="R75" s="14" t="str"/>
      <x:c r="S75" s="14" t="str"/>
      <x:c r="T75" s="14" t="str"/>
      <x:c r="U75" s="14" t="str">
        <x:v>PASS — production headers retain default-self tool availability, no Origin-Agent-Cluster ?0 or cross-origin tool grant, and isolated Chrome registers eight tools. Evidence: qa_evidence/feature-audit-2026-08-30/commands/webmcp-resources-production-http.txt; qa_evidence/feature-audit-2026-08-30/browser/production-webmcp-resource-audit-isolated.json.</x:v>
      </x:c>
      <x:c r="V75" s="14" t="str">
        <x:v>Verified</x:v>
      </x:c>
      <x:c r="W75" s="14" t="str">
        <x:v>No</x:v>
      </x:c>
      <x:c r="X75" s="14" t="str">
        <x:v>Official resource source: https://webmcp.devpost.com/resources.</x:v>
      </x:c>
      <x:c r="Y75" s="14" t="str">
        <x:v>Check every link on the WebMCP Challenge resources page to enhance the submission.</x:v>
      </x:c>
    </x:row>
    <x:row r="76">
      <x:c r="A76" s="14" t="str">
        <x:v>RES-007</x:v>
      </x:c>
      <x:c r="B76" s="14" t="str">
        <x:v>Live WebMCP agent model-selection evaluation</x:v>
      </x:c>
      <x:c r="C76" s="14" t="str">
        <x:v>WebMCP evaluation</x:v>
      </x:c>
      <x:c r="D76" s="14" t="str">
        <x:v>web/evals/webmcp-evals.json; scripts/run-webmcp-agent-evals.mjs; scripts/build-webmcp-agent-eval-report.mjs; scripts/validate-webmcp-agent-evidence.mjs; WEBMCP_AGENT_EVAL_REPORT.html; qa_evidence/webmcp_agent_eval/</x:v>
      </x:c>
      <x:c r="E76" s="14" t="str">
        <x:v>Actual WebMCP-capable browser agent</x:v>
      </x:c>
      <x:c r="F76" s="14" t="str">
        <x:v>Competition judge and maintainer</x:v>
      </x:c>
      <x:c r="G76" s="14" t="str">
        <x:v>As a judge or maintainer, I want the 15 intent cases run through an actual WebMCP-capable agent, so that observed tool selection, arguments, ordering, and protected no-tool behavior are measured rather than inferred.</x:v>
      </x:c>
      <x:c r="H76" s="14" t="str">
        <x:v>The named agent/runtime executes all 15 prompts against the production page’s eight native WebMCP tools; raw prompts, tool calls, arguments, outputs, runtime/model identity, timestamps, and failures are preserved; scoring reports exact-call, tool-selection, argument, order, and no-tool-boundary accuracy without treating direct CDP invocation or deterministic fixtures as model selection.</x:v>
      </x:c>
      <x:c r="I76" s="14" t="str">
        <x:v>Gemini 2.5 Flash ran all 15 frozen prompts using eight browser-discovered production WebMCP contracts and executed selected calls through WebMCP Inspector 1.9.13. Strict exact selection+arguments passed 12/15; required tools were in order for 14/15; expected-call argument match was 12/14; literal no-tool boundaries passed 4/5; forbidden mutations were 0/5.</x:v>
      </x:c>
      <x:c r="J76" s="14" t="str">
        <x:v>Verified</x:v>
      </x:c>
      <x:c r="K76" s="14" t="str">
        <x:v>Live browser-agent evaluation + deterministic scorer</x:v>
      </x:c>
      <x:c r="L76" s="14" t="str">
        <x:v>Identify a real WebMCP-capable agent; verify native eight-tool discovery; run every case in an isolated session; capture raw tool invocations; compare with expectedCalls; report exact, selection, argument, order, and no-tool metrics.</x:v>
      </x:c>
      <x:c r="M76" s="14" t="str">
        <x:v>PASS WITH MEASURED VARIANCE — complete live run recorded at qa_evidence/webmcp_agent_eval/2026-08-29T23-46-14Z/agent-eval-results.json; credential-free latest evidence SHA-256 3643f03ba4f1dce6fd57ad33b3c0015f5345f03632d359c43af6d1849bf2379a.</x:v>
      </x:c>
      <x:c r="N76" s="14" t="str">
        <x:v>Three strict mismatches: intent-start normalized focus text and added a read-only orientation call; sequence-orient-before-answer stopped before the oracle’s unconfirmed mutation; boundary-ambiguous-choice made one read-only state check.</x:v>
      </x:c>
      <x:c r="O76" s="14" t="str">
        <x:v>Medium</x:v>
      </x:c>
      <x:c r="P76" s="14" t="str">
        <x:v>Record frozen results without post-hoc corpus edits; separately track the explicit-confirmation oracle conflict.</x:v>
      </x:c>
      <x:c r="Q76" s="14" t="str">
        <x:v>Added an authenticated Vertex Gemini runner over browser-discovered WebMCP contracts, per-case raw evidence, deterministic scoring, and a self-contained evidence report.</x:v>
      </x:c>
      <x:c r="R76" s="14" t="str">
        <x:v>scripts/run-webmcp-agent-evals.mjs; scripts/build-webmcp-agent-eval-report.mjs; scripts/validate-webmcp-agent-evidence.mjs; WEBMCP_AGENT_EVAL_REPORT.html; qa_evidence/webmcp_agent_eval/; README.md; SUBMISSION.md; package.json; package-lock.json; CHANGELOG.md; CONTINUITY.md; feature_status_tracker.csv; .gitignore</x:v>
      </x:c>
      <x:c r="S76" s="14" t="str">
        <x:v>1c0200a</x:v>
      </x:c>
      <x:c r="T76" s="14" t="str">
        <x:v>Run npm test, npm run test:webmcp:evals, npm run test:webmcp:agent-evidence, npm run validate, npm run validate:submission, npm run test:stripe, go test ./..., and go vet ./....</x:v>
      </x:c>
      <x:c r="U76" s="14" t="str">
        <x:v>PASS — 15/15 cases produced complete records; metrics recompute to 12/15 strict exact, 14/15 required in order, 12/14 expected arguments, 4/5 literal no-tool, and 0 forbidden mutations.</x:v>
      </x:c>
      <x:c r="V76" s="14" t="str">
        <x:v>Verified</x:v>
      </x:c>
      <x:c r="W76" s="14" t="str">
        <x:v>No</x:v>
      </x:c>
      <x:c r="X76" s="14" t="str">
        <x:v>Single run per case at temperature 0. Model selection is probabilistic; this is observed performance, not a guarantee. The Inspector UI had no stored API key, so authenticated Vertex AI supplied the model while the extension supplied live tool discovery and execution.</x:v>
      </x:c>
      <x:c r="Y76" s="14" t="str">
        <x:v>Run the 15-case corpus through an actual WebMCP-capable agent and record model-selection accuracy.</x:v>
      </x:c>
    </x:row>
    <x:row r="77">
      <x:c r="A77" s="14" t="str">
        <x:v>RES-008</x:v>
      </x:c>
      <x:c r="B77" s="14" t="str">
        <x:v>Explicit-confirmation eval oracle consistency</x:v>
      </x:c>
      <x:c r="C77" s="14" t="str">
        <x:v>WebMCP evaluation safety boundary</x:v>
      </x:c>
      <x:c r="D77" s="14" t="str">
        <x:v>web/evals/webmcp-evals.json; qa_evidence/webmcp_agent_eval/latest.json; web/lib/webmcp.js</x:v>
      </x:c>
      <x:c r="E77" s="14" t="str">
        <x:v>sequence-orient-before-answer corpus case</x:v>
      </x:c>
      <x:c r="F77" s="14" t="str">
        <x:v>Maintainer and competition judge</x:v>
      </x:c>
      <x:c r="G77" s="14" t="str">
        <x:v>As a maintainer, I want evaluation expectations to preserve explicit human confirmation, so that a safe agent is not penalized for refusing an unauthorized answer mutation.</x:v>
      </x:c>
      <x:c r="H77" s="14" t="str">
        <x:v>No answer_reflection_question call occurs until the prompt contains an explicit human confirmation, matching the tool description and runtime guard.</x:v>
      </x:c>
      <x:c r="I77" s="14" t="str">
        <x:v>The frozen sequence-orient-before-answer oracle expects answer_reflection_question even though the prompt says “after I confirm” and contains no confirmation. Gemini stopped after explanation and asked the human to confirm.</x:v>
      </x:c>
      <x:c r="J77" s="14" t="str">
        <x:v>Needs Product Decision</x:v>
      </x:c>
      <x:c r="K77" s="14" t="str">
        <x:v>Corpus-policy consistency review from live model evidence</x:v>
      </x:c>
      <x:c r="L77" s="14" t="str">
        <x:v>Compare the prompt, expectedCalls, live call trace, answer tool description, and confirmed_by_user runtime guard.</x:v>
      </x:c>
      <x:c r="M77" s="14" t="str">
        <x:v>FAILED ORACLE CONSISTENCY — the expected mutation conflicts with the implemented confirmation boundary.</x:v>
      </x:c>
      <x:c r="N77" s="14" t="str">
        <x:v>The benchmark would reward a model for asserting confirmed_by_user=true before the user actually confirms.</x:v>
      </x:c>
      <x:c r="O77" s="14" t="str">
        <x:v>High</x:v>
      </x:c>
      <x:c r="P77" s="14" t="str">
        <x:v>Decide whether to change the prompt to include explicit confirmation or remove the answer call from the frozen expectation; preserve this first-run baseline.</x:v>
      </x:c>
      <x:c r="Q77" s="14" t="str">
        <x:v>None; the frozen corpus and its first live result remain unchanged to prevent post-hoc score inflation.</x:v>
      </x:c>
      <x:c r="R77" s="14" t="str">
        <x:v>feature_status_tracker.csv; WEBMCP_AGENT_EVAL_REPORT.html</x:v>
      </x:c>
      <x:c r="S77" s="14" t="str"/>
      <x:c r="T77" s="14" t="str">
        <x:v>After product decision, version the corpus and rerun all cases as a new evaluation; do not overwrite the v1 evidence.</x:v>
      </x:c>
      <x:c r="U77" s="14" t="str">
        <x:v>Not run pending product decision.</x:v>
      </x:c>
      <x:c r="V77" s="14" t="str">
        <x:v>Needs Product Decision</x:v>
      </x:c>
      <x:c r="W77" s="14" t="str">
        <x:v>Yes</x:v>
      </x:c>
      <x:c r="X77" s="14" t="str">
        <x:v>This is a benchmark defect, not evidence of unsafe model behavior. The observed model respected the product’s confirmation rule.</x:v>
      </x:c>
      <x:c r="Y77" s="14" t="str">
        <x:v>Run the 15-case corpus through an actual WebMCP-capable agent and record model-selection accuracy.</x:v>
      </x:c>
    </x:row>
    <x:row r="78">
      <x:c r="A78" s="14" t="str">
        <x:v>RES-009</x:v>
      </x:c>
      <x:c r="B78" s="14" t="str">
        <x:v>Campaign capability claim coverage</x:v>
      </x:c>
      <x:c r="C78" s="14" t="str">
        <x:v>WebMCP evaluation and public claims</x:v>
      </x:c>
      <x:c r="D78" s="14" t="str">
        <x:v>web/lib/webmcp.js; web/app.js; web/data/quiz.json; web/data/cards.json; web/data/shop.json; web/evals/webmcp-campaign-evals.json; WEBMCP_CAMPAIGN_CLAIM_AUDIT.html</x:v>
      </x:c>
      <x:c r="E78" s="14" t="str">
        <x:v>Public WebMCP campaign posts and live site</x:v>
      </x:c>
      <x:c r="F78" s="14" t="str">
        <x:v>Prospective visitor and competition judge</x:v>
      </x:c>
      <x:c r="G78" s="14" t="str">
        <x:v>As a prospective visitor, I want every advertised agent capability to match the live site, so that I know what the agent can do and which actions remain mine.</x:v>
      </x:c>
      <x:c r="H78" s="14" t="str">
        <x:v>Campaign scenarios map to the eight production tools and visible UI: guided 12-question reflection, plain-language explanation, explicitly confirmed answers with visible state changes, deterministic local scoring with one bounded action, Card 004 lookup, read-only digital-edition recommendation, and human-controlled Stripe checkout. Unsupported ephemeris, physical-deck, price, automatic diagnosis, and zero-server-leakage claims are explicitly rejected or rewritten.</x:v>
      </x:c>
      <x:c r="I78" s="14" t="str">
        <x:v>Production retains eight bounded tools. Supported reflection, Card 004, and digital-edition scenarios map to real tools. Unsupported ephemeris/Yellow Ray/transit, physical-deck/price, diagnosis, automatic email, cart, and payment claims are explicitly removed from publishable copy and covered as no-tool boundaries.</x:v>
      </x:c>
      <x:c r="J78" s="14" t="str">
        <x:v>Verified</x:v>
      </x:c>
      <x:c r="K78" s="14" t="str">
        <x:v>Source-to-claim audit + deterministic corpus + live browser-agent evaluation</x:v>
      </x:c>
      <x:c r="L78" s="14" t="str">
        <x:v>Map every numbered post/thread claim to production code and tool contracts; validate a dedicated campaign corpus; run each campaign prompt through the same live WebMCP-capable agent; verify supported calls, explicit-confirmation behavior, visible DOM synchronization, and no unsupported purchase, physical-product, ephemeris, or email claims.</x:v>
      </x:c>
      <x:c r="M78" s="14" t="str">
        <x:v>PASS — deterministic 10-case corpus validation; live Gemini 2.5 Flash + WebMCP Inspector run selected the exact expected tool sequence in 10/10 cases, preserved required order in 10/10, achieved strict call-and-argument equality in 8/10, and invoked no tool in 5/5 protected or unsupported cases. Campaign HTML/XML parsed; desktop and 390px mobile had no page overflow.</x:v>
      </x:c>
      <x:c r="N78" s="14" t="str">
        <x:v>Resolved — the supplied draft overstated the product with nonexistent ephemeris, Yellow Ray, diagnosis, physical-deck, fixed-price, autonomous-commerce, and universal zero-server-leakage claims.</x:v>
      </x:c>
      <x:c r="O78" s="14" t="str">
        <x:v>High</x:v>
      </x:c>
      <x:c r="P78" s="14" t="str">
        <x:v>Yes — completed.</x:v>
      </x:c>
      <x:c r="Q78" s="14" t="str">
        <x:v>Added a dedicated campaign corpus and validators, generalized the live runner for named corpora/evidence roots, ran the production-discovered eight-tool contract through Gemini, and generated a claim-status matrix plus corrected copy-ready post/thread without expanding tool authority.</x:v>
      </x:c>
      <x:c r="R78" s="14" t="str">
        <x:v>web/evals/webmcp-campaign-evals.json; scripts/validate-webmcp-campaign-evals.mjs; scripts/run-webmcp-agent-evals.mjs; scripts/validate-webmcp-campaign-agent-evidence.mjs; scripts/build-webmcp-campaign-claim-audit.mjs; WEBMCP_CAMPAIGN_CLAIM_AUDIT.html; README.md; SUBMISSION.md; package.json; CHANGELOG.md; qa_evidence/webmcp_campaign_agent_eval/**; qa_evidence/webmcp_campaign_claim_audit/**</x:v>
      </x:c>
      <x:c r="S78" s="14" t="str">
        <x:v>2c7686c</x:v>
      </x:c>
      <x:c r="T78" s="14" t="str">
        <x:v>Run npm run test:webmcp:campaign-evals, npm run test:webmcp:campaign-evidence, npm run test:webmcp:evals, npm test, npm run validate, npm run validate:submission; parse embedded XML; render at 1440px and 390px and assert document scroll width equals viewport.</x:v>
      </x:c>
      <x:c r="U78" s="14" t="str">
        <x:v>PASS — 10/10 tool-selection/order cases, 5/5 no-tool boundaries, 0 forbidden calls, 25/25 web tests, site validation, submission validation, HTML/XML parse, and responsive overflow checks.</x:v>
      </x:c>
      <x:c r="V78" s="14" t="str">
        <x:v>Verified</x:v>
      </x:c>
      <x:c r="W78" s="14" t="str">
        <x:v>No</x:v>
      </x:c>
      <x:c r="X78" s="14" t="str">
        <x:v>Strict 8/10 reflects two harmless argument normalizations: the model removed the possessive my from focus_area and omitted optional collection_scope, which defaulted to arc. Canonical live evidence: qa_evidence/webmcp_campaign_agent_eval/latest.json. Claim contract: WEBMCP_CAMPAIGN_CLAIM_AUDIT.html.</x:v>
      </x:c>
      <x:c r="Y78" s="14" t="str">
        <x:v>Make sure the proposed WebMCP master post and four-tweet thread cases are covered.</x:v>
      </x:c>
    </x:row>
    <x:row r="79">
      <x:c r="A79" s="14" t="str">
        <x:v>RES-010</x:v>
      </x:c>
      <x:c r="B79" s="14" t="str">
        <x:v>Six operational WebMCP use-case contracts</x:v>
      </x:c>
      <x:c r="C79" s="14" t="str">
        <x:v>WebMCP scenarios and public claims</x:v>
      </x:c>
      <x:c r="D79" s="14" t="str">
        <x:v>web/lib/webmcp.js; web/data/cards.json; web/data/shop.json; web/evals/webmcp-operational-use-cases.json; WEBMCP_OPERATIONAL_USE_CASES.html</x:v>
      </x:c>
      <x:c r="E79" s="14" t="str">
        <x:v>External-agent operational scenarios for mirrorloopai.com</x:v>
      </x:c>
      <x:c r="F79" s="14" t="str">
        <x:v>Founder, operator, developer, team lead, executive, and competition judge</x:v>
      </x:c>
      <x:c r="G79" s="14" t="str">
        <x:v>As a prospective user, I want concrete operational examples that use only real MIRROR//LOOP capabilities, so that I can understand how an agent helps without mistaking symbolic framing for diagnosis, astronomy, private evidence, or physical fulfillment.</x:v>
      </x:c>
      <x:c r="H79" s="14" t="str">
        <x:v>Each of the six scenarios maps to the existing eight-tool contract: founder deadlock uses reflection plus public card lookup; over-simulation uses Card 004 without diagnosis or transit claims; launch inertia uses public Card 001 without private Geneva commentary; sprint framing uses an explicitly chosen Card 003 rather than a current transit; team contradiction uses only the current session review; desk-anchor interest maps to a digital-edition recommendation with human-controlled Stripe review. Unsupported claims are visibly qualified.</x:v>
      </x:c>
      <x:c r="I79" s="14" t="str">
        <x:v>All six operational contexts now have corrected, production-reproducible flows. Card 006 uses its public title Future Geometry; card interpretation uses get_card; the current-session review stays single-user; the workspace recommendation is digital and price-free; diagnosis, transit, private commentary, physical fulfillment, cart, and payment claims are excluded.</x:v>
      </x:c>
      <x:c r="J79" s="14" t="str">
        <x:v>Verified</x:v>
      </x:c>
      <x:c r="K79" s="14" t="str">
        <x:v>Source-to-contract audit + six-case deterministic corpus + live browser-agent evaluation</x:v>
      </x:c>
      <x:c r="L79" s="14" t="str">
        <x:v>Map every action and output in all six scenarios to the production tool schema and public data; create one corrected reproducible flow per scenario; validate expected tools and boundaries; run all six prompts through the production-discovered WebMCP toolset; confirm no invented tools, private corpora, diagnosis, transit, physical product, price, cart, or payment claim.</x:v>
      </x:c>
      <x:c r="M79" s="14" t="str">
        <x:v>PASS — deterministic six-case validation; live Gemini 2.5 Flash + WebMCP Inspector evaluation achieved 6/6 exact cases, 8/8 exact calls, 100% required-order accuracy, and 100% argument agreement. HTML/XML parsing and 1440px/390px overflow checks passed.</x:v>
      </x:c>
      <x:c r="N79" s="14" t="str">
        <x:v>Resolved — every useful business context was retained while unsupported runtime, evidence, product, and authority claims were removed.</x:v>
      </x:c>
      <x:c r="O79" s="14" t="str">
        <x:v>High</x:v>
      </x:c>
      <x:c r="P79" s="14" t="str">
        <x:v>Yes — completed.</x:v>
      </x:c>
      <x:c r="Q79" s="14" t="str">
        <x:v>Added a frozen six-case operational corpus, live evaluation evidence, validators, and a self-contained StrategiX use-case artifact with one reproducible flow and explicit boundary per scenario.</x:v>
      </x:c>
      <x:c r="R79" s="14" t="str">
        <x:v>web/evals/webmcp-operational-use-cases.json; scripts/validate-webmcp-operational-use-cases.mjs; scripts/validate-webmcp-operational-evidence.mjs; scripts/build-webmcp-operational-use-cases.mjs; WEBMCP_OPERATIONAL_USE_CASES.html; README.md; SUBMISSION.md; scripts/validate-submission.mjs; package.json; CHANGELOG.md; qa_evidence/webmcp_operational_use_case_eval/**; qa_evidence/webmcp_operational_use_cases/**</x:v>
      </x:c>
      <x:c r="S79" s="14" t="str">
        <x:v>c6fac39</x:v>
      </x:c>
      <x:c r="T79" s="14" t="str">
        <x:v>Run npm run test:webmcp:operational-use-cases, npm run test:webmcp:operational-evidence, npm run validate:submission, the complete WebMCP/web/Stripe/Go regression suite, HTML/XML parsing, and desktop/mobile overflow checks.</x:v>
      </x:c>
      <x:c r="U79" s="14" t="str">
        <x:v>PASS — 6/6 exact live cases, 8/8 exact calls, zero invented calls, local validators pass, and the visual artifact renders without page overflow.</x:v>
      </x:c>
      <x:c r="V79" s="14" t="str">
        <x:v>Verified</x:v>
      </x:c>
      <x:c r="W79" s="14" t="str">
        <x:v>No</x:v>
      </x:c>
      <x:c r="X79" s="14" t="str">
        <x:v>Canonical evidence: qa_evidence/webmcp_operational_use_case_eval/latest.json. Visual contract: WEBMCP_OPERATIONAL_USE_CASES.html. The production tool count remains eight.</x:v>
      </x:c>
      <x:c r="Y79" s="14" t="str">
        <x:v>Six concrete, high-leverage WebMCP use cases for mirrorloopai.com across operational bottlenecks.</x:v>
      </x:c>
    </x:row>
    <x:row r="80">
      <x:c r="A80" s="14" t="str">
        <x:v>RES-011</x:v>
      </x:c>
      <x:c r="B80" s="14" t="str">
        <x:v>Competition 10/10 strategy claim hardening</x:v>
      </x:c>
      <x:c r="C80" s="14" t="str">
        <x:v>Competition narrative, security, architecture, and demo</x:v>
      </x:c>
      <x:c r="D80" s="14" t="str">
        <x:v>web/lib/webmcp.js; web/app.js; web/data/shop.json; SUBMISSION.md; WEBMCP_COMPETITION_HARDENING_AUDIT.html</x:v>
      </x:c>
      <x:c r="E80" s="14" t="str">
        <x:v>Devpost narrative, three-minute demo, and public architecture claims</x:v>
      </x:c>
      <x:c r="F80" s="14" t="str">
        <x:v>Competition judge, technical reviewer, and entrant</x:v>
      </x:c>
      <x:c r="G80" s="14" t="str">
        <x:v>As a competition judge, I want ambitious claims separated from implemented evidence, so that I can reward real WebMCP leverage without being misled by fictional tools, benchmarks, products, or privacy guarantees.</x:v>
      </x:c>
      <x:c r="H80" s="14" t="str">
        <x:v>The submission uses the real eight-tool contract, existing local-state events, strict schemas, 12-answer completion gate, public card registry, digital catalog, and explicit human transaction boundary. Numeric judging scores are not self-awarded. Unsupported dial events, sub-millisecond LST, Tool 9, P2P zero-knowledge, physical decks, x402, historical game-theoretic authority, ray diagnostics, and autonomous settlement are rejected or clearly labeled future concepts.</x:v>
      </x:c>
      <x:c r="I80" s="14" t="str">
        <x:v>The proposed strategy is now reconciled against inspected code and preserved evidence. A self-contained claim ledger classifies unsupported scores, events, astronomy, Tool 9/P2P, physical fulfillment, x402, and symbolic-science authority; preserves the eight real tools, three UI events, strict schemas, completion gate, digital catalog, and human payment boundary; and provides a corrected 2:35 demo and Devpost core.</x:v>
      </x:c>
      <x:c r="J80" s="14" t="str">
        <x:v>Verified</x:v>
      </x:c>
      <x:c r="K80" s="14" t="str">
        <x:v>Claim-to-code audit + security boundary regression + submission/document validation</x:v>
      </x:c>
      <x:c r="L80" s="14" t="str">
        <x:v>Map every matrix, architecture, security, dyadic, commerce, framing, storyboard, Devpost, and checklist claim to inspected code/data/evidence; preserve supported controls; generate a claim-status audit and corrected storyboard/copy; validate absence of invented capabilities in publishable text; run full WebMCP, submission, site, Stripe, and Go regressions plus HTML/XML and responsive checks.</x:v>
      </x:c>
      <x:c r="M80" s="14" t="str">
        <x:v>PASS — claim validator and submission validator passed; 11 embedded XML claim decisions parsed; desktop 1440px and mobile 390px renders had no horizontal overflow; complete WebMCP evaluation, web, Stripe, site, submission, Go test, and Go vet regressions passed.</x:v>
      </x:c>
      <x:c r="N80" s="14" t="str">
        <x:v>Resolved — unsupported perfect-score and nonexistent-capability claims are classified, excluded from publishable copy, or explicitly deferred.</x:v>
      </x:c>
      <x:c r="O80" s="14" t="str">
        <x:v>Critical</x:v>
      </x:c>
      <x:c r="P80" s="14" t="str">
        <x:v>Yes — completed.</x:v>
      </x:c>
      <x:c r="Q80" s="14" t="str">
        <x:v>Added a generated StrategiX claim-hardening audit, machine-readable claim ledger, corrected judge evidence map, 2:35 storyboard, Devpost core, release-freeze decision, validator, submission gate, documentation links, and responsive evidence.</x:v>
      </x:c>
      <x:c r="R80" s="14" t="str">
        <x:v>WEBMCP_COMPETITION_HARDENING_AUDIT.html; scripts/build-webmcp-competition-hardening-audit.mjs; scripts/validate-webmcp-competition-hardening.mjs; scripts/validate-submission.mjs; package.json; README.md; SUBMISSION.md; CHANGELOG.md; qa_evidence/webmcp_competition_hardening/**</x:v>
      </x:c>
      <x:c r="S80" s="14" t="str">
        <x:v>2bed64d</x:v>
      </x:c>
      <x:c r="T80" s="14" t="str">
        <x:v>Run all four WebMCP corpus/claim validators, all three preserved live-evidence validators, npm test, npm run test:stripe, npm run validate, npm run validate:submission, go test ./..., go vet ./..., embedded XML parsing, and desktop/mobile overflow checks.</x:v>
      </x:c>
      <x:c r="U80" s="14" t="str">
        <x:v>PASS — 15-case, 10-case, and 6-case suites and evidence validators passed; 25/25 web tests and 1/1 Stripe test passed; site/submission/Go gates passed; XML contained 11 claim decisions; 1440px and 390px scroll widths equaled their viewports.</x:v>
      </x:c>
      <x:c r="V80" s="14" t="str">
        <x:v>Verified</x:v>
      </x:c>
      <x:c r="W80" s="14" t="str">
        <x:v>No</x:v>
      </x:c>
      <x:c r="X80" s="14" t="str">
        <x:v>Canonical artifact: WEBMCP_COMPETITION_HARDENING_AUDIT.html. Responsive evidence: qa_evidence/webmcp_competition_hardening/. No ninth tool, P2P exchange, astronomical engine, physical fulfillment, x402, or autonomous payment was added. External operator gates remain pending.</x:v>
      </x:c>
      <x:c r="Y80" s="14" t="str">
        <x:v>Achieve an unassailable 10/10 across every WebMCP Challenge judging dimension using the supplied master evaluation matrix, architecture, storyboard, Devpost copy, and execution checklist.</x:v>
      </x:c>
    </x:row>
    <x:row r="81">
      <x:c r="A81" s="14" t="str">
        <x:v>RES-012</x:v>
      </x:c>
      <x:c r="B81" s="14" t="str">
        <x:v>Evidence-bounded judge panel orientation</x:v>
      </x:c>
      <x:c r="C81" s="14" t="str">
        <x:v>Competition presentation</x:v>
      </x:c>
      <x:c r="D81" s="14" t="str">
        <x:v>SUBMISSION.md; WEBMCP_JUDGE_PANEL_BRIEF.html; scripts/build-webmcp-judge-panel-brief.mjs; scripts/validate-submission.mjs</x:v>
      </x:c>
      <x:c r="E81" s="14" t="str">
        <x:v>Devpost submission package and repository evidence brief</x:v>
      </x:c>
      <x:c r="F81" s="14" t="str">
        <x:v>WebMCP Challenge judge</x:v>
      </x:c>
      <x:c r="G81" s="14" t="str">
        <x:v>As a WebMCP Challenge judge, I want the submission evidence organized around the panel’s relevant engineering disciplines, so that I can verify the project quickly without relying on personal profiling or unsupported technical claims.</x:v>
      </x:c>
      <x:c r="H81" s="14" t="str">
        <x:v>The submission names the user-provided panel roster, organizes existing evidence under browser safety, WebMCP contracts, web performance, privacy boundaries, modern web delivery, and applied product value, labels role-based lenses as orientation rather than psychographic fact, and explicitly rejects undeployed astronomy, P2P, physical-product, zero-telemetry, bundle-size, and benchmark claims.</x:v>
      </x:c>
      <x:c r="I81" s="14" t="str">
        <x:v>PASS — the official challenge page confirms all seven names and titles; the new brief organizes six reproducible evidence paths while explicitly excluding unsupported personal and technical claims.</x:v>
      </x:c>
      <x:c r="J81" s="14" t="str">
        <x:v>Fixed</x:v>
      </x:c>
      <x:c r="K81" s="14" t="str">
        <x:v>Documentation claim audit + HTML/XML validation + submission regression</x:v>
      </x:c>
      <x:c r="L81" s="14" t="str">
        <x:v>Verify the panel roster against the official challenge surface where available; compare every proposed capability with source and preserved runtime evidence; parse the self-contained HTML and embedded XML; run submission, WebMCP, site, Stripe, and Go regression gates.</x:v>
      </x:c>
      <x:c r="M81" s="14" t="str">
        <x:v>PASS — official roster/source capture, claim-to-code baseline, generated HTML/XML contract, 1440 px and 390 px browser renders, and full regression evidence are preserved under qa_evidence/webmcp_judge_panel/.</x:v>
      </x:c>
      <x:c r="N81" s="14" t="str">
        <x:v>Resolved — judge orientation now relies on public roles and implemented evidence rather than alleged preferences or future capabilities.</x:v>
      </x:c>
      <x:c r="O81" s="14" t="str">
        <x:v>High</x:v>
      </x:c>
      <x:c r="P81" s="14" t="str">
        <x:v>Yes — completed.</x:v>
      </x:c>
      <x:c r="Q81" s="14" t="str">
        <x:v>Added a generated StrategiX judge-panel brief, official-source provenance, six role-oriented evidence paths, measured module sizes, an explicit exclusion ledger, deterministic validation, and submission-package links.</x:v>
      </x:c>
      <x:c r="R81" s="14" t="str">
        <x:v>WEBMCP_JUDGE_PANEL_BRIEF.html; scripts/build-webmcp-judge-panel-brief.mjs; scripts/validate-webmcp-judge-panel-brief.mjs; scripts/validate-submission.mjs; package.json; README.md; SUBMISSION.md; CHANGELOG.md; qa_evidence/webmcp_judge_panel/**; feature_status_tracker.csv</x:v>
      </x:c>
      <x:c r="S81" s="14" t="str">
        <x:v>a030ae1</x:v>
      </x:c>
      <x:c r="T81" s="14" t="str">
        <x:v>Run the judge-panel and submission validators, all WebMCP corpus/evidence validators, npm test, Stripe test, site validation, go test, go vet, embedded XML parsing, and desktop/mobile no-overflow checks.</x:v>
      </x:c>
      <x:c r="U81" s="14" t="str">
        <x:v>PASS — panel brief and submission validation passed; all 25 web tests and 1 Stripe test passed; all WebMCP corpus/evidence gates, site validation, Go tests, Go vet, XML parse, seven-row panel render, and responsive no-overflow checks passed.</x:v>
      </x:c>
      <x:c r="V81" s="14" t="str">
        <x:v>Verified</x:v>
      </x:c>
      <x:c r="W81" s="14" t="str">
        <x:v>No</x:v>
      </x:c>
      <x:c r="X81" s="14" t="str">
        <x:v>Official source capture: qa_evidence/webmcp_judge_panel/official-source.txt. Canonical brief: WEBMCP_JUDGE_PANEL_BRIEF.html. The artifact does not claim knowledge of judges’ private preferences or predict scores.</x:v>
      </x:c>
      <x:c r="Y81" s="14" t="str">
        <x:v>Tailor the MIRROR//LOOP WebMCP submission to the listed judging panel while preserving an evidence-bounded architecture and narrative.</x:v>
      </x:c>
    </x:row>
    <x:row r="82">
      <x:c r="A82" s="14" t="str">
        <x:v>RES-013</x:v>
      </x:c>
      <x:c r="B82" s="14" t="str">
        <x:v>Chrome motion and accessibility claim integrity</x:v>
      </x:c>
      <x:c r="C82" s="14" t="str">
        <x:v>Competition presentation and browser UX</x:v>
      </x:c>
      <x:c r="D82" s="14" t="str">
        <x:v>web/index.html; web/app.js; web/styles.css; SUBMISSION.md; WEBMCP_JUDGE_PANEL_BRIEF.html</x:v>
      </x:c>
      <x:c r="E82" s="14" t="str">
        <x:v>Live reflection UI and Chrome-oriented demo narrative</x:v>
      </x:c>
      <x:c r="F82" s="14" t="str">
        <x:v>Chrome platform judge and accessibility-conscious visitor</x:v>
      </x:c>
      <x:c r="G82" s="14" t="str">
        <x:v>As a Chrome platform judge or accessibility-conscious visitor, I want motion, Origin Trial, and accessibility claims to match the deployed interface, so that I can evaluate real browser craftsmanship rather than an invented SVG demonstration.</x:v>
      </x:c>
      <x:c r="H82" s="14" t="str">
        <x:v>The submission identifies the real CSS progress transition, semantic progressbar, status/live regions, focus movement, Origin Trial token, feature-detection fallback, and visible WebMCP state; it does not claim an SVG radial dial, requestAnimationFrame, compositor-only execution, zero paints, 60 fps, zero setup friction, or a dependency-free total bundle without measured evidence.</x:v>
      </x:c>
      <x:c r="I82" s="14" t="str">
        <x:v>PASS — the submission now presents the real browser UX: semantic 12-step progress, aria-valuenow updates, question/result focus, polite status/result regions, reduced-motion behavior, awaited model-context registration, the Origin Trial token, and direct-use fallback. The Chrome claim ledger explicitly classifies the invented SVG/rAF/compositor/performance and zero-setup statements as contradicted, unmeasured, unresolved, qualified, or excluded.</x:v>
      </x:c>
      <x:c r="J82" s="14" t="str">
        <x:v>Fixed</x:v>
      </x:c>
      <x:c r="K82" s="14" t="str">
        <x:v>Source-to-claim audit + browser accessibility/animation inspection + submission regression</x:v>
      </x:c>
      <x:c r="L82" s="14" t="str">
        <x:v>Inspect HTML/CSS/JS for SVG, rAF, transform, ARIA, focus, events, and Origin Trial integration; run browser checks for semantic roles and reduced-motion behavior; classify every proposed claim before implementation.</x:v>
      </x:c>
      <x:c r="M82" s="14" t="str">
        <x:v>FAIL — source and reduced-motion browser baseline contradict the proposed SVG/compositor performance narrative. Supported browser craftsmanship exists but is not yet documented as a reproducible Chrome UX claim ledger. Evidence: qa_evidence/webmcp_chrome_ux/baseline.txt; qa_evidence/webmcp_chrome_ux/baseline-browser.json; qa_evidence/webmcp_chrome_ux/baseline-mobile.png.</x:v>
      </x:c>
      <x:c r="N82" s="14" t="str">
        <x:v>Submission-integrity risk: proposed judge-targeted copy would attribute unsupported personal preferences and advertise browser mechanisms/performance measurements that are absent or unmeasured.</x:v>
      </x:c>
      <x:c r="O82" s="14" t="str">
        <x:v>High</x:v>
      </x:c>
      <x:c r="P82" s="14" t="str">
        <x:v>Yes — add a generated evidence ledger and corrected demo guidance using only implemented progress, ARIA, focus, reduced-motion, CustomEvent, feature-detection, and Origin Trial facts; qualify setup and dependency claims.</x:v>
      </x:c>
      <x:c r="Q82" s="14" t="str">
        <x:v>Added a generated Chrome motion/accessibility claim ledger, corrected the demo narration and README boundaries, extended the StrategiX XML contract, and added a deterministic Chrome UX claim validator. No fictitious dial or unmeasured performance implementation was added.</x:v>
      </x:c>
      <x:c r="R82" s="14" t="str">
        <x:v>WEBMCP_JUDGE_PANEL_BRIEF.html; scripts/build-webmcp-judge-panel-brief.mjs; scripts/validate-webmcp-judge-panel-brief.mjs; scripts/validate-webmcp-chrome-ux.mjs; scripts/validate-submission.mjs; SUBMISSION.md; README.md; package.json; CHANGELOG.md; qa_evidence/webmcp_chrome_ux/**; feature_status_tracker.csv</x:v>
      </x:c>
      <x:c r="S82" s="14" t="str">
        <x:v>24c8cba</x:v>
      </x:c>
      <x:c r="T82" s="14" t="str">
        <x:v>Run npm run test:webmcp:chrome-ux, judge-panel and submission validators, all WebMCP corpus/evidence validators, npm test, Stripe/site validation, go test, and go vet; inspect desktop and 390 px app/brief renders with reduced motion and check focus, aria-valuenow, live regions, console errors, and overflow.</x:v>
      </x:c>
      <x:c r="U82" s="14" t="str">
        <x:v>PASS — deterministic claim, judge-panel, and submission gates passed; 25/25 web tests and 1/1 Stripe test passed; all WebMCP corpus/evidence validators, site validation, Go tests, and Go vet passed. Desktop and 390 px browser checks showed question-title focus, aria-valuenow=2, transitionDuration=0s under reduced motion, two polite live regions, zero SVG/canvas elements, zero overflow, and zero console errors. Production HTTP returned 200 with Origin Trial, status, progressbar, and live-region markup.</x:v>
      </x:c>
      <x:c r="V82" s="14" t="str">
        <x:v>Verified</x:v>
      </x:c>
      <x:c r="W82" s="14" t="str">
        <x:v>No</x:v>
      </x:c>
      <x:c r="X82" s="14" t="str">
        <x:v>Initial failure retained in Test Result and qa_evidence/webmcp_chrome_ux/baseline*. A normal headless Chrome run did not expose modelContext despite the local token, so zero-flag access remains intentionally unclaimed. The verified judge path continues to document Chrome 149 plus the testing flag. No public app runtime was changed or deployed in this pass.</x:v>
      </x:c>
      <x:c r="Y82" s="14" t="str">
        <x:v>Tailor the submission to Sarah Drasner using SVG animation, Chrome Origin Trial, accessibility, and motion-performance claims.</x:v>
      </x:c>
    </x:row>
    <x:row r="83">
      <x:c r="A83" s="14" t="str">
        <x:v>RES-014</x:v>
      </x:c>
      <x:c r="B83" s="14" t="str">
        <x:v>Six-role judge claim reconciliation</x:v>
      </x:c>
      <x:c r="C83" s="14" t="str">
        <x:v>Competition presentation, architecture, privacy, performance, and commerce</x:v>
      </x:c>
      <x:c r="D83" s="14" t="str">
        <x:v>web/lib/webmcp.js; web/app.js; web/lib/analytics.js; web/data/shop.json; README.md; SUBMISSION.md; WEBMCP_JUDGE_PANEL_BRIEF.html</x:v>
      </x:c>
      <x:c r="E83" s="14" t="str">
        <x:v>Judge evidence brief and Devpost technical narrative</x:v>
      </x:c>
      <x:c r="F83" s="14" t="str">
        <x:v>WebMCP Challenge judge and technical reviewer</x:v>
      </x:c>
      <x:c r="G83" s="14" t="str">
        <x:v>As a WebMCP Challenge judge, I want role-relevant claims about safety, tool design, performance, privacy, frontend architecture, and commercial utility tied to reproducible evidence, so that I can evaluate the real product without personal profiling or fictional capabilities.</x:v>
      </x:c>
      <x:c r="H83" s="14" t="str">
        <x:v>The submission maps the six remaining public roles to implemented evidence: explicit answer and commerce authority boundaries; strict eight-tool schemas and completion gating; measured source-module sizes without invented kinematics benchmarks; browser-local reflection with disclosed analytics/email/Stripe egress; modular vanilla ESM with real direct state adapters and CustomEvents; and a static-first digital-commerce funnel with human-controlled Stripe. It rejects private-preference claims, a ninth/physical-deck tool, structured error envelopes not returned by the runtime, under-20KB/zero-network assertions, astronomy, dyadic/P2P tokens, zero telemetry/database/compute, pure event-only reactivity, physical products/prices, and guaranteed scores.</x:v>
      </x:c>
      <x:c r="I83" s="14" t="str">
        <x:v>PASS — the generated judge brief now contains six visible and machine-readable role evidence paths. Each path distinguishes supported behavior from a correction and gives a reproducible judge check. README and submission copy point reviewers to the matrix without adopting private-preference, fictional feature, absolute privacy/cost, physical-product, or guaranteed-score claims.</x:v>
      </x:c>
      <x:c r="J83" s="14" t="str">
        <x:v>Fixed</x:v>
      </x:c>
      <x:c r="K83" s="14" t="str">
        <x:v>Source-to-claim audit + generated StrategiX matrix + browser/submission regression</x:v>
      </x:c>
      <x:c r="L83" s="14" t="str">
        <x:v>Inventory every supplied claim; map each to current source, public data, preserved browser evidence, or an explicit contradiction/qualification; verify public-role framing contains no private psychographic claims; validate generated HTML/XML and submission text; retest all affected behavior.</x:v>
      </x:c>
      <x:c r="M83" s="14" t="str">
        <x:v>FAIL — the existing brief provides general evidence paths and exclusions, but not a complete six-role claim-by-claim reconciliation. Source evidence and contradictions are preserved in qa_evidence/webmcp_six_role_claims/baseline.txt.</x:v>
      </x:c>
      <x:c r="N83" s="14" t="str">
        <x:v>Submission-integrity risk: adopting the supplied text would advertise nonexistent tools, runtime modules, error shapes, privacy guarantees, products, benchmarks, and personal knowledge of judges.</x:v>
      </x:c>
      <x:c r="O83" s="14" t="str">
        <x:v>High</x:v>
      </x:c>
      <x:c r="P83" s="14" t="str">
        <x:v>Yes — generate a six-role evidence matrix with supported evidence, explicit corrections, and reproducible checks; add concise README/submission guidance and deterministic prohibited-claim validation.</x:v>
      </x:c>
      <x:c r="Q83" s="14" t="str">
        <x:v>Added six public-role evidence cards and six embedded XML Role records; expanded source provenance; added README/submission guidance, prohibited-claim assertions, and the test:webmcp:six-role-claims gate. Runtime tool and commerce authority were not expanded.</x:v>
      </x:c>
      <x:c r="R83" s="14" t="str">
        <x:v>WEBMCP_JUDGE_PANEL_BRIEF.html; scripts/build-webmcp-judge-panel-brief.mjs; scripts/validate-webmcp-judge-panel-brief.mjs; scripts/validate-webmcp-six-role-claims.mjs; scripts/validate-submission.mjs; README.md; SUBMISSION.md; package.json; CHANGELOG.md; qa_evidence/webmcp_six_role_claims/**; feature_status_tracker.csv</x:v>
      </x:c>
      <x:c r="S83" s="14" t="str">
        <x:v>13d9bfc</x:v>
      </x:c>
      <x:c r="T83" s="14" t="str">
        <x:v>Run the six-role, judge-panel, Chrome UX, competition, corpus/evidence, site, submission, Stripe, and Go gates; render the StrategiX brief at 1440 px and 390 px; count visible role cards and XML Role records; check overflow and console output.</x:v>
      </x:c>
      <x:c r="U83" s="14" t="str">
        <x:v>PASS — six-role, judge-panel, Chrome UX, submission, and all adjacent regression gates passed. The full suite passed 25/25 web tests, 1/1 Stripe test, all WebMCP corpus/evidence checks, site validation, Go tests, and Go vet. Desktop and mobile each rendered six role cards and six XML Role records with zero overflow and zero console errors.</x:v>
      </x:c>
      <x:c r="V83" s="14" t="str">
        <x:v>Verified</x:v>
      </x:c>
      <x:c r="W83" s="14" t="str">
        <x:v>No</x:v>
      </x:c>
      <x:c r="X83" s="14" t="str">
        <x:v>Baseline failure is preserved in Test Result and qa_evidence/webmcp_six_role_claims/baseline.txt. The public role is used only as a navigation lens. No judge preference, likely score, new tool, astronomy module, P2P protocol, physical catalog item, or infrastructure migration was inferred or implemented.</x:v>
      </x:c>
      <x:c r="Y83" s="14" t="str">
        <x:v>Reconcile the supplied deep-dive profiles and architectural flexes for Justin Rushing, Alex Nahas, Ilya Grigorik, Andrew Galloni, Jude Gao, and Sean Roberts.</x:v>
      </x:c>
    </x:row>
    <x:row r="84">
      <x:c r="A84" s="14" t="str">
        <x:v>EM-006</x:v>
      </x:c>
      <x:c r="B84" s="14" t="str">
        <x:v>Production email-reflection submission routing</x:v>
      </x:c>
      <x:c r="C84" s="14" t="str">
        <x:v>Subscriber email / production routing</x:v>
      </x:c>
      <x:c r="D84" s="14" t="str">
        <x:v>web/app.js; web/config.js; firebase.json; api/internal/subscriber/http.go</x:v>
      </x:c>
      <x:c r="E84" s="14" t="str">
        <x:v>Completed quiz → Email my reflection; POST /api/v1/subscribers</x:v>
      </x:c>
      <x:c r="F84" s="14" t="str">
        <x:v>Quiz participant requesting an emailed reflection</x:v>
      </x:c>
      <x:c r="G84" s="14" t="str">
        <x:v>As a quiz participant, I want the Email my reflection button to submit successfully and show a clear outcome, so that I can confirm my address and receive my reflection.</x:v>
      </x:c>
      <x:c r="H84" s="14" t="str">
        <x:v>After Turnstile succeeds and the participant submits valid consent and email data, Firebase Hosting routes /api/** to the Cloud Run subscriber service; the API returns bounded JSON, the page announces that confirmation is required, and the confirmation email is created. Routing failures remain visibly actionable.</x:v>
      </x:c>
      <x:c r="I84" s="14" t="str">
        <x:v>Production now routes /api/** to the ready Cloud Run revision. The completed-quiz page loads app.js?v=20260830-5, keeps WebMCP ready with eight tools, and places submission feedback directly below the button in a focusable polite live region.</x:v>
      </x:c>
      <x:c r="J84" s="14" t="str">
        <x:v>Fixed</x:v>
      </x:c>
      <x:c r="K84" s="14" t="str">
        <x:v>Production HTTP route + completed-quiz browser flow + adjacent subscriber regression</x:v>
      </x:c>
      <x:c r="L84" s="14" t="str">
        <x:v>Confirm the user-visible completed-quiz state; request /api/v1/health; POST a non-sensitive invalid fixture to /api/v1/subscribers; verify requests reach the Go API and return JSON; then perform one explicit real-address end-to-end submission only with operator confirmation.</x:v>
      </x:c>
      <x:c r="M84" s="14" t="str">
        <x:v>FAIL — /api/v1/health and POST /api/v1/subscribers both return Firebase Hosting 404 HTML instead of Cloud Run JSON. Evidence: qa_evidence/subscriber_route_recovery/baseline.txt and user screenshot codex-clipboard-2a0d5910-800b-4915-8ea8-84b17db699a4.png.</x:v>
      </x:c>
      <x:c r="N84" s="14" t="str">
        <x:v>The production Hosting release does not apply the repository’s /api/** Cloud Run rewrite even though firebase.json declares it. The deployed subscriber service itself still exists and has a ready revision.</x:v>
      </x:c>
      <x:c r="O84" s="14" t="str">
        <x:v>Critical</x:v>
      </x:c>
      <x:c r="P84" s="14" t="str">
        <x:v>Yes</x:v>
      </x:c>
      <x:c r="Q84" s="14" t="str">
        <x:v>Redeployed Firebase Hosting from the canonical firebase.json so /api/** is pinned to Cloud Run revision mirrorloopai-subscriber-00011-5wz; moved the status beside the button; focused it after completion; added a bounded service-unavailable message for HTML 404 responses; bumped the app asset version.</x:v>
      </x:c>
      <x:c r="R84" s="14" t="str">
        <x:v>web/index.html; web/app.js; scripts/validate-site.mjs; CHANGELOG.md; qa_evidence/subscriber_route_recovery/**; feature_status_tracker.csv; feature_status_tracker.xlsx; feature_status_tracker.html; feature_qa_report.md</x:v>
      </x:c>
      <x:c r="S84" s="14" t="str">
        <x:v>ab71f14</x:v>
      </x:c>
      <x:c r="T84" s="14" t="str">
        <x:v>Deploy Hosting configuration with the /api/** rewrite using the correct Firebase project and compatible CLI runtime; verify /api/v1/health returns JSON 200 and subscriber POST returns API JSON; run web, Go, site, Stripe, and production route gates; preserve one real email test for action-time confirmation.</x:v>
      </x:c>
      <x:c r="U84" s="14" t="str">
        <x:v>PASS — custom-domain and Firebase-domain health routes return JSON 200; invalid challenge POST reaches the Go API and returns bounded JSON 400 rather than Hosting HTML; active Hosting config contains the /api/** Cloud Run rewrite; production serves app.js?v=20260830-5; a fresh Chrome flow completed all 12 questions and exposed the accessible email form with WebMCP ready · 8 tools. Web 25/25, Stripe 1/1, site validation, all WebMCP/submission validators, Go tests, and Go vet passed. Evidence: qa_evidence/subscriber_route_recovery/.</x:v>
      </x:c>
      <x:c r="V84" s="14" t="str">
        <x:v>Verified</x:v>
      </x:c>
      <x:c r="W84" s="14" t="str">
        <x:v>No</x:v>
      </x:c>
      <x:c r="X84" s="14" t="str">
        <x:v>The routing and browser UX failure are verified fixed. No real email address or valid Turnstile token was transmitted during automated retest; the operator can now retry the existing form, which will create the intended double-opt-in request.</x:v>
      </x:c>
      <x:c r="Y84" s="14" t="str">
        <x:v>I clicked Email my reflection but nothing happens; it is in Chrome Dev.</x:v>
      </x:c>
    </x:row>
    <x:row r="85">
      <x:c r="A85" s="14" t="str">
        <x:v>F-029</x:v>
      </x:c>
      <x:c r="B85" s="14" t="str">
        <x:v>Saved and editable repeat-quiz choices</x:v>
      </x:c>
      <x:c r="C85" s="14" t="str">
        <x:v>Quiz continuity and browser privacy</x:v>
      </x:c>
      <x:c r="D85" s="14" t="str">
        <x:v>web/app.js; web/index.html; web/privacy.html; web/lib/reflection-storage.js; web/tests/reflection-storage.test.mjs</x:v>
      </x:c>
      <x:c r="E85" s="14" t="str">
        <x:v>Home quiz; result action; browser reload; direct UI and WebMCP answer recording</x:v>
      </x:c>
      <x:c r="F85" s="14" t="str">
        <x:v>Returning quiz participant</x:v>
      </x:c>
      <x:c r="G85" s="14" t="str">
        <x:v>As a returning quiz participant, I want my previous choices restored when I review the quiz, so that I can keep them and change only the answers I reconsider.</x:v>
      </x:c>
      <x:c r="H85" s="14" t="str">
        <x:v>The browser saves only the 12 quiz choice codes locally; a repeat or reload restores valid choices and shows them selected; the participant can move through them without re-answering, change any choice, or explicitly start over blank. Invalid or stale saved data is ignored. The backend still does not persist individual answers.</x:v>
      </x:c>
      <x:c r="I85" s="14" t="str">
        <x:v>Production saves only validated 12-choice codes in versioned browser localStorage. Reloading or selecting Review or change my answers restores prior selections; every answer remains editable; Start over with blank answers clears the local record. Stale, malformed, wrong-length, and unknown-choice payloads are rejected. The subscriber backend continues to store only the compact result, not individual answers.</x:v>
      </x:c>
      <x:c r="J85" s="14" t="str">
        <x:v>Fixed</x:v>
      </x:c>
      <x:c r="K85" s="14" t="str">
        <x:v>Source inspection + browser-local storage unit and end-to-end behavior</x:v>
      </x:c>
      <x:c r="L85" s="14" t="str">
        <x:v>1. Complete or partially answer the quiz. 2. Reload and reopen it. 3. Confirm prior valid choices remain selected and Next is enabled. 4. Use the result action and confirm all choices remain available for review. 5. Change one answer and confirm the result updates. 6. Clear saved answers and confirm a blank quiz. 7. Inject malformed or stale storage and confirm it is ignored. 8. Confirm privacy copy discloses browser-only storage and backend non-retention.</x:v>
      </x:c>
      <x:c r="M85" s="14" t="str">
        <x:v>FAIL — the pre-fix implementation cleared all choices on start and repeat and had no local answer store. Baseline preserved at qa_evidence/quiz_answer_persistence/baseline.txt.</x:v>
      </x:c>
      <x:c r="N85" s="14" t="str">
        <x:v>Resolved — returning participants no longer need to re-enter unchanged choices.</x:v>
      </x:c>
      <x:c r="O85" s="14" t="str">
        <x:v>High</x:v>
      </x:c>
      <x:c r="P85" s="14" t="str">
        <x:v>Yes</x:v>
      </x:c>
      <x:c r="Q85" s="14" t="str">
        <x:v>Yes — added a versioned, validated browser-local store; wired direct and WebMCP answer updates to it; preserved choices during review; added explicit clearing and privacy disclosure.</x:v>
      </x:c>
      <x:c r="R85" s="14" t="str">
        <x:v>web/lib/reflection-storage.js; web/tests/reflection-storage.test.mjs; web/app.js; web/index.html; web/privacy.html; scripts/test-quiz-persistence-browser.mjs; scripts/validate-site.mjs; package.json; CHANGELOG.md; qa_evidence/quiz_answer_persistence/</x:v>
      </x:c>
      <x:c r="S85" s="14" t="str">
        <x:v>c21b785</x:v>
      </x:c>
      <x:c r="T85" s="14" t="str">
        <x:v>Run npm test, npm run validate, npm run test:webmcp:evals, npm run test:stripe, and MIRRORLOOP_TEST_URL=https://mirrorloopai.com npm run test:quiz:persistence:browser; inspect production bundle and privacy copy.</x:v>
      </x:c>
      <x:c r="U85" s="14" t="str">
        <x:v>PASS — 28/28 web tests, site validation, 15-case WebMCP corpus, Stripe inventory regression, and production headless-Chrome save/reload/review/change/clear/stale-data checks passed. Evidence: qa_evidence/quiz_answer_persistence/browser-retest.json, production-retest.txt, and firebase-hosting-deploy.txt.</x:v>
      </x:c>
      <x:c r="V85" s="14" t="str">
        <x:v>Verified</x:v>
      </x:c>
      <x:c r="W85" s="14" t="str">
        <x:v>No</x:v>
      </x:c>
      <x:c r="X85" s="14" t="str">
        <x:v>Deployed to Firebase Hosting at https://mirrorloopai.com. Saved data is device/browser-local, contains no email or free text, and can be explicitly removed. A different browser or device will not receive these saved choices.</x:v>
      </x:c>
      <x:c r="Y85" s="14" t="str">
        <x:v>i need to repeat the quiz and would like the previous choices to be saved not to repeat them, if i want i can chamge them</x:v>
      </x:c>
    </x:row>
    <x:row r="86">
      <x:c r="A86" s="14" t="str">
        <x:v>F-030</x:v>
      </x:c>
      <x:c r="B86" s="14" t="str">
        <x:v>Branded confirmation review page</x:v>
      </x:c>
      <x:c r="C86" s="14" t="str">
        <x:v>Subscriber confirmation UI</x:v>
      </x:c>
      <x:c r="D86" s="14" t="str">
        <x:v>api/internal/subscriber/http.go; api/internal/subscriber/http_test.go</x:v>
      </x:c>
      <x:c r="E86" s="14" t="str">
        <x:v>GET /api/v1/subscribers/verify?token=…; invalid or expired confirmation link</x:v>
      </x:c>
      <x:c r="F86" s="14" t="str">
        <x:v>Quiz participant reviewing email confirmation</x:v>
      </x:c>
      <x:c r="G86" s="14" t="str">
        <x:v>As a quiz participant opening the confirmation link, I want a page that looks and reads like MIRROR//LOOP, so that I trust the transition and understand exactly what confirming will do.</x:v>
      </x:c>
      <x:c r="H86" s="14" t="str">
        <x:v>A responsive dark-violet and gold MIRROR//LOOP page presents a centered review card, branded identity, explicit reflection-delivery and launch-list consequences, 48-hour context, a clear Confirm and send my reflection action, a return-home path, visible keyboard focus, reduced-motion support, and a branded safe invalid/expired state. GET remains side-effect free and POST remains the only activation action.</x:v>
      </x:c>
      <x:c r="I86" s="14" t="str">
        <x:v>Production now serves a self-contained MIRROR//LOOP dark-violet and gold review card with brand header/footer, explicit reflection-delivery and launch-list consequences, a prominent Confirm and send my reflection POST action, a return-without-confirming path, responsive mobile layout, reduced-motion CSS, and branded invalid/expired recovery. GET remains side-effect free.</x:v>
      </x:c>
      <x:c r="J86" s="14" t="str">
        <x:v>Fixed</x:v>
      </x:c>
      <x:c r="K86" s="14" t="str">
        <x:v>Source inspection + HTTP handler tests + responsive browser rendering</x:v>
      </x:c>
      <x:c r="L86" s="14" t="str">
        <x:v>1. Open a valid GET confirmation link and verify no subscription activation. 2. Inspect desktop and 390px mobile layout. 3. Verify brand, hierarchy, explicit consequences, button copy, return path, keyboard focus, and reduced-motion CSS. 4. Submit POST and verify exactly one reflection delivery plus redirect. 5. Open invalid/expired token and verify a branded safe recovery page with HTTP 400. 6. Verify CSP, no-store, no-referrer, token escaping, and no external assets.</x:v>
      </x:c>
      <x:c r="M86" s="14" t="str">
        <x:v>FAIL — the pre-fix route rendered browser-default white HTML with no brand continuity, weak hierarchy, and insufficient consent context. Baseline preserved at qa_evidence/confirmation_page_design/baseline.txt and the user-provided screenshot.</x:v>
      </x:c>
      <x:c r="N86" s="14" t="str">
        <x:v>Resolved — the confirmation trust transition now matches the MIRROR//LOOP product and explicitly explains the action.</x:v>
      </x:c>
      <x:c r="O86" s="14" t="str">
        <x:v>High</x:v>
      </x:c>
      <x:c r="P86" s="14" t="str">
        <x:v>Yes</x:v>
      </x:c>
      <x:c r="Q86" s="14" t="str">
        <x:v>Yes — replaced raw server strings with an escaped self-contained branded template; added confirmation, unsubscribe, success, invalid, and expired states; preserved scanner-safe GET and POST-only mutation.</x:v>
      </x:c>
      <x:c r="R86" s="14" t="str">
        <x:v>api/internal/subscriber/http.go; api/internal/subscriber/http_test.go; CHANGELOG.md; qa_evidence/confirmation_page_design/</x:v>
      </x:c>
      <x:c r="S86" s="14" t="str">
        <x:v>9ed7544; d26e0e5</x:v>
      </x:c>
      <x:c r="T86" s="14" t="str">
        <x:v>Run targeted confirmation/security tests, go test ./..., go vet ./..., npm test, npm run validate, npm run test:webmcp:evals, npm run test:stripe; render at 1440px and 390px; deploy Cloud Run and Firebase Hosting; request an invalid production token and verify branded HTTP 400 plus security headers.</x:v>
      </x:c>
      <x:c r="U86" s="14" t="str">
        <x:v>PASS — targeted valid/invalid/escaping tests, all Go tests and vet, 28/28 web tests, site validation, 15-case WebMCP corpus, and Stripe regression passed. Desktop/mobile renders had zero overflow and preserved MIRROR//LOOP branding. Cloud Run revision mirrorloopai-subscriber-00013-l94 serves 100% of direct traffic and Firebase Hosting was repinned; production invalid-link recovery returns branded HTML 400 with CSP, no-store, no-referrer, and nosniff headers. Evidence: qa_evidence/confirmation_page_design/.</x:v>
      </x:c>
      <x:c r="V86" s="14" t="str">
        <x:v>Verified</x:v>
      </x:c>
      <x:c r="W86" s="14" t="str">
        <x:v>No</x:v>
      </x:c>
      <x:c r="X86" s="14" t="str">
        <x:v>The valid production page uses the same tested template as the verified invalid-link state and includes the 48-hour review context. No live confirmation token was invoked during automated production testing, so no subscriber state or email delivery was changed.</x:v>
      </x:c>
      <x:c r="Y86" s="14" t="str">
        <x:v>make this page to look as part of the design, right now it doesnt look good</x:v>
      </x:c>
    </x:row>
    <x:row r="87">
      <x:c r="A87" s="14" t="str">
        <x:v>F-031</x:v>
      </x:c>
      <x:c r="B87" s="14" t="str">
        <x:v>CSP-compatible confirmation page styling</x:v>
      </x:c>
      <x:c r="C87" s="14" t="str">
        <x:v>Subscriber confirmation UI</x:v>
      </x:c>
      <x:c r="D87" s="14" t="str">
        <x:v>api/internal/subscriber/http.go; web/confirmation.css; firebase.json</x:v>
      </x:c>
      <x:c r="E87" s="14" t="str">
        <x:v>GET /api/v1/subscribers/verify?token=…; confirmation and recovery pages</x:v>
      </x:c>
      <x:c r="F87" s="14" t="str">
        <x:v>Quiz participant opening an email confirmation link</x:v>
      </x:c>
      <x:c r="G87" s="14" t="str">
        <x:v>As a quiz participant opening the confirmation link in a normal browser, I want the MIRROR//LOOP visual design to load reliably, so that the page is readable, recognizable, and trustworthy.</x:v>
      </x:c>
      <x:c r="H87" s="14" t="str">
        <x:v>The confirmation and recovery pages load a same-origin stylesheet compatible with both Firebase Hosting and API Content Security Policies; the branded desktop and mobile layout renders without inline CSS or scripts, while GET remains side-effect free and POST remains the only confirmation action.</x:v>
      </x:c>
      <x:c r="I87" s="14" t="str">
        <x:v>The confirmation and recovery templates now reference a versioned same-origin stylesheet; the API and hosting policies both allow self-hosted styles and no longer require inline-style permission.</x:v>
      </x:c>
      <x:c r="J87" s="14" t="str">
        <x:v>Verified</x:v>
      </x:c>
      <x:c r="K87" s="14" t="str">
        <x:v>Production visual regression + CSP/resource loading + handler semantics</x:v>
      </x:c>
      <x:c r="L87" s="14" t="str">
        <x:v>1. Open a valid confirmation GET in Chrome. 2. Verify stylesheet request and computed styles. 3. Test desktop and 390px mobile layouts and overflow. 4. Verify invalid-token recovery. 5. Verify CSP permits same-origin CSS but not inline style/script. 6. Verify GET has no mutation and POST remains the only activation action.</x:v>
      </x:c>
      <x:c r="M87" s="14" t="str">
        <x:v>FAIL — the supplied production Chrome screenshot showed the revised HTML rendered with browser-default styling. The captured API response used inline CSS; the exact browser/runtime suppression layer was not independently proven.</x:v>
      </x:c>
      <x:c r="N87" s="14" t="str">
        <x:v>The production page depended entirely on an inline stylesheet that was not applied in the observed Chrome session.</x:v>
      </x:c>
      <x:c r="O87" s="14" t="str">
        <x:v>High</x:v>
      </x:c>
      <x:c r="P87" s="14" t="str">
        <x:v>Yes</x:v>
      </x:c>
      <x:c r="Q87" s="14" t="str">
        <x:v>Yes — moved the confirmation design into web/confirmation.css, linked it from the escaped Go template, tightened the API CSP to style-src self, and added computed-style browser regression coverage.</x:v>
      </x:c>
      <x:c r="R87" s="14" t="str">
        <x:v>api/internal/subscriber/http.go; api/internal/subscriber/http_test.go; web/confirmation.css; scripts/test-confirmation-page-browser.mjs; scripts/validate-site.mjs; package.json; CHANGELOG.md; qa_evidence/confirmation_page_style_regression/; feature_status_tracker.csv; feature_status_tracker.xlsx; feature_status_tracker.html; feature_qa_report.md</x:v>
      </x:c>
      <x:c r="S87" s="14" t="str">
        <x:v>e185c72; 6c90ff4</x:v>
      </x:c>
      <x:c r="T87" s="14" t="str">
        <x:v>After repair, run Go tests/vet and web suites; browser-render the valid template at desktop/mobile through an HTTP origin; verify /confirmation.css and invalid production route; inspect computed styles, overflow, CSP, and scanner-safe GET behavior.</x:v>
      </x:c>
      <x:c r="U87" s="14" t="str">
        <x:v>PASS — local valid-page desktop/mobile Chrome runs loaded one same-origin stylesheet under the production-style CSP, applied the radial background and rounded card/button styles, produced zero console/resource errors, and had zero horizontal overflow. Production /confirmation.css returns HTTP 200 text/css; the deployed invalid-link page loads it successfully, applies the computed branded styles, has no inline style or failed resource requests, and preserves intentional HTTP 400 recovery. Cloud Run revision mirrorloopai-subscriber-00014-x2t serves 100% traffic and Firebase Hosting was redeployed. Full Go test/vet, 28 web tests, site validation, 15-case WebMCP corpus, and Stripe inventory passed. A user-supplied production screenshot now independently confirms that a valid-token confirmation page renders the complete branded design, hierarchy, consent explanation, primary confirmation action, and return path.</x:v>
      </x:c>
      <x:c r="V87" s="14" t="str">
        <x:v>Verified</x:v>
      </x:c>
      <x:c r="W87" s="14" t="str">
        <x:v>No</x:v>
      </x:c>
      <x:c r="X87" s="14" t="str">
        <x:v>Evidence: qa_evidence/confirmation_page_style_regression/. Valid confirmation behavior was tested locally with the same template; production visual/resource verification used a non-mutating invalid-link GET, so no subscriber was confirmed or emailed during the check. Additional evidence: qa_evidence/confirmation_page_style_regression/production-valid-confirmation-page-user-observed.png.</x:v>
      </x:c>
      <x:c r="Y87" s="14" t="str">
        <x:v>Screenshot showing the redesigned confirmation page still rendering as unstyled browser-default HTML.</x:v>
      </x:c>
    </x:row>
    <x:row r="88">
      <x:c r="A88" s="14" t="str">
        <x:v>F-032</x:v>
      </x:c>
      <x:c r="B88" s="14" t="str">
        <x:v>Cross-device reflection after confirmation</x:v>
      </x:c>
      <x:c r="C88" s="14" t="str">
        <x:v>Subscriber confirmation and reflection delivery</x:v>
      </x:c>
      <x:c r="D88" s="14" t="str">
        <x:v>api/internal/subscriber/http.go; api/internal/subscriber/service.go; api/internal/subscriber/mailer.go; web/confirmed.html</x:v>
      </x:c>
      <x:c r="E88" s="14" t="str">
        <x:v>POST /api/v1/subscribers/verify?token=…; /confirmed; second reflection email</x:v>
      </x:c>
      <x:c r="F88" s="14" t="str">
        <x:v>Quiz participant confirming from another computer</x:v>
      </x:c>
      <x:c r="G88" s="14" t="str">
        <x:v>As a participant confirming on a different computer, I want to see what I should remember and understand where my reflection is available, so that I am not left on a generic homepage or forced to repeat the quiz.</x:v>
      </x:c>
      <x:c r="H88" s="14" t="str">
        <x:v>After explicit confirmation, the branded response displays the stored compact reflection pattern and one bounded action, states that the same result was sent in a second email usable on any device, and explains that the 12 original choices remain private to the browser where the quiz was completed. No email address or individual answers appear in the page or URL.</x:v>
      </x:c>
      <x:c r="I88" s="14" t="str">
        <x:v>The explicit confirmation POST now renders the stored compact reflection, its bounded action, and a cross-device explanation immediately; the static completion fallback also explains the second email and browser-local choice boundary.</x:v>
      </x:c>
      <x:c r="J88" s="14" t="str">
        <x:v>Verified</x:v>
      </x:c>
      <x:c r="K88" s="14" t="str">
        <x:v>Cross-device confirmation UX + privacy + email delivery + browser rendering</x:v>
      </x:c>
      <x:c r="L88" s="14" t="str">
        <x:v>1. Complete confirmation by POST. 2. Verify compact result and bounded action appear. 3. Verify second-email and device-local-choice explanation. 4. Verify no email or 12 answers in HTML/URL. 5. Verify GET does not mutate. 6. Verify one initial reflection email. 7. Test desktop/mobile and invalid states.</x:v>
      </x:c>
      <x:c r="M88" s="14" t="str">
        <x:v>FAIL — supplied screenshot shows the generic homepage after confirmation on another computer, with no visible result or cross-device explanation.</x:v>
      </x:c>
      <x:c r="N88" s="14" t="str">
        <x:v>The confirmation POST discards the stored compact result and redirects to a generic static completion route.</x:v>
      </x:c>
      <x:c r="O88" s="14" t="str">
        <x:v>High</x:v>
      </x:c>
      <x:c r="P88" s="14" t="str">
        <x:v>Yes</x:v>
      </x:c>
      <x:c r="Q88" s="14" t="str">
        <x:v>Yes — returned the confirmed record from the service, rendered only its canonical compact result after POST, explained the second email and non-synchronized choices, and upgraded the static completion fallback.</x:v>
      </x:c>
      <x:c r="R88" s="14" t="str">
        <x:v>api/internal/subscriber/service.go; api/internal/subscriber/service_test.go; api/internal/subscriber/http.go; api/internal/subscriber/http_test.go; web/confirmation.css; web/confirmed.html; scripts/test-confirmation-page-browser.mjs; scripts/validate-site.mjs; CHANGELOG.md; qa_evidence/post_confirmation_cross_device/; feature_status_tracker.csv; feature_status_tracker.xlsx; feature_status_tracker.html; feature_qa_report.md</x:v>
      </x:c>
      <x:c r="S88" s="14" t="str">
        <x:v>2e4116f; b52b3b4</x:v>
      </x:c>
      <x:c r="T88" s="14" t="str">
        <x:v>Run service/handler/email tests, all Go tests/vet and web suites; render successful confirmation at desktop/mobile; verify production non-mutating routes and deploy only after local confirmation semantics pass.</x:v>
      </x:c>
      <x:c r="U88" s="14" t="str">
        <x:v>PASS — local successful POST returned HTTP 200 with canonical compact result, bounded action, second-email and cross-device explanation; no email address or individual-answer payload appeared. Desktop/mobile Chrome had one stylesheet, no console errors, and no overflow. All Go tests/vet, 28 web tests, site validation, 15-case WebMCP corpus, and Stripe inventory passed. Cloud Run revision mirrorloopai-subscriber-00015-lvd serves 100% latest-revision traffic; Firebase Hosting deployed; production health passed; /confirmed contains second-email, any-device, and non-synchronization guidance; invalid-token GET remains branded HTTP 400.</x:v>
      </x:c>
      <x:c r="V88" s="14" t="str">
        <x:v>Verified</x:v>
      </x:c>
      <x:c r="W88" s="14" t="str">
        <x:v>No</x:v>
      </x:c>
      <x:c r="X88" s="14" t="str">
        <x:v>Evidence: qa_evidence/post_confirmation_cross_device/. Production personalized POST was not invoked automatically because it requires a real subscriber token and would resend the participant email. The user can safely reopen the still-valid confirmation link and confirm again to receive the new on-page result and another reflection email.</x:v>
      </x:c>
      <x:c r="Y88" s="14" t="str">
        <x:v>Clicked and verified, then I do not see what to remember; it is on a different computer.</x:v>
      </x:c>
    </x:row>
    <x:row r="89">
      <x:c r="A89" s="14" t="str">
        <x:v>F-033</x:v>
      </x:c>
      <x:c r="B89" s="14" t="str">
        <x:v>Owner quiz-submission fulfillment notification</x:v>
      </x:c>
      <x:c r="C89" s="14" t="str">
        <x:v>Quiz subscriber email fulfillment</x:v>
      </x:c>
      <x:c r="D89" s="14" t="str">
        <x:v>api/internal/subscriber/service.go; api/internal/subscriber/mailer.go; web/index.html; web/privacy.html</x:v>
      </x:c>
      <x:c r="E89" s="14" t="str">
        <x:v>POST /api/v1/subscribers; quiz email form</x:v>
      </x:c>
      <x:c r="F89" s="14" t="str">
        <x:v>MIRROR//LOOP owner manually fulfilling participant reflections</x:v>
      </x:c>
      <x:c r="G89" s="14" t="str">
        <x:v>As the MIRROR//LOOP owner, I want an email notification identifying each accepted quiz submitter and listing their 12 selections in order, so that I can review or fulfill the reflection manually when needed.</x:v>
      </x:c>
      <x:c r="H89" s="14" t="str">
        <x:v>After an accepted human-verified submission and successful participant confirmation-email request, the configured operational mailbox receives an idempotent notice containing the participant email, pending-confirmation status, source/version, compact result, and each question plus its selected response and stable Q1–Q12 code/name/domain mapping. Reply-To is the participant. Individual answers are not added to Firestore. Public copy discloses diagnostic/manual fallback processing without publishing the private operational recipient.</x:v>
      </x:c>
      <x:c r="I89" s="14" t="str">
        <x:v>The service now sends the configured operational mailbox an idempotent Resend notice after the participant confirmation message succeeds. It includes the participant email, status, source/version/time, compact result, and readable question/selected-response details in Q1–Q12 order. Reply-To is the participant. Owner-mail failure is logged without rejecting the participant; honeypot submissions send nothing; Firestore remains compact-result-only.</x:v>
      </x:c>
      <x:c r="J89" s="14" t="str">
        <x:v>Verified</x:v>
      </x:c>
      <x:c r="K89" s="14" t="str">
        <x:v>Mailer payload + service lifecycle + privacy disclosure + regression</x:v>
      </x:c>
      <x:c r="L89" s="14" t="str">
        <x:v>1. Submit 12 valid ordered answers. 2. Capture owner Resend payload. 3. Verify recipient, Reply-To, pending status, participant email, quiz metadata, compact result, and Q1–Q12 mappings. 4. Verify deterministic idempotency key. 5. Simulate owner-mail failure and preserve participant acceptance. 6. Verify Record/Firestore schema still excludes individual answers. 7. Verify consent and privacy disclosure.</x:v>
      </x:c>
      <x:c r="M89" s="14" t="str">
        <x:v>PASS — focused and full Go tests verify lifecycle, recipient, Reply-To, readable Q1–Q12 answers, deterministic idempotency, failure isolation, honeypot behavior, and absence of answers from Record. Go vet, 28 web tests, site validation, 15-case WebMCP corpus, Stripe regression, and diff checks pass. Evidence: qa_evidence/owner_quiz_submission_notification/local_verification.txt.</x:v>
      </x:c>
      <x:c r="N89" s="14" t="str">
        <x:v>Resolved — a user-supplied receipt confirms that the operational mailbox received the owner diagnostic notification with the participant identifier, pending-confirmation status, compact result, quiz metadata, and all Q1–Q12 selections in order.</x:v>
      </x:c>
      <x:c r="O89" s="14" t="str">
        <x:v>High</x:v>
      </x:c>
      <x:c r="P89" s="14" t="str">
        <x:v>No — owner diagnostic delivery and required manual-fulfillment content are now observed.</x:v>
      </x:c>
      <x:c r="Q89" s="14" t="str">
        <x:v>Yes — added human-readable answer details to the submission payload, validated them server-side, sent an idempotent operational email to the configured mailbox with participant Reply-To, preserved compact-only Firestore storage, and disclosed diagnostic/manual fallback processing.</x:v>
      </x:c>
      <x:c r="R89" s="14" t="str">
        <x:v>api/cmd/server/main.go; api/internal/subscriber/model.go; api/internal/subscriber/model_test.go; api/internal/subscriber/service.go; api/internal/subscriber/service_test.go; api/internal/subscriber/mailer.go; api/internal/subscriber/mailer_test.go; web/app.js; web/index.html; web/privacy.html; scripts/validate-site.mjs; CHANGELOG.md; qa_evidence/owner_quiz_submission_notification/; feature_status_tracker.csv; feature_status_tracker.xlsx; feature_status_tracker.html; feature_qa_report.md</x:v>
      </x:c>
      <x:c r="S89" s="14" t="str">
        <x:v>103ed7e</x:v>
      </x:c>
      <x:c r="T89" s="14" t="str">
        <x:v>Run focused mailer/service/model tests, all Go tests/vet, web tests, site validation, privacy assertions, and a production configuration/deployment check without submitting a real participant.</x:v>
      </x:c>
      <x:c r="U89" s="14" t="str">
        <x:v>PASS — the live Chrome path completed 12 questions and produced Horizon Signal; production Turnstile blocked automation as designed. An IAM-only temporary service completed submission (202), confirmation review (200), activation/result rendering (200), accepted owner notification without a failure log, accepted reflection send, and unsubscribe cleanup (200), then was deleted. User-supplied receipts confirm delivery of both the participant confirmation email and the owner diagnostic email. The owner message contains the participant identifier, pending status, compact result, version/source/time, and readable Q1–Q12 questions and selections in order, plus the compact-only database boundary. Evidence: qa_evidence/owner_quiz_submission_notification/e2e-*.txt, participant-confirmation-delivery-observed.txt, and owner-diagnostic-delivery-observed.txt.</x:v>
      </x:c>
      <x:c r="V89" s="14" t="str">
        <x:v>Verified</x:v>
      </x:c>
      <x:c r="W89" s="14" t="str">
        <x:v>No</x:v>
      </x:c>
      <x:c r="X89" s="14" t="str">
        <x:v>Application behavior remains deployed on revision mirrorloopai-subscriber-00016-mjt. The isolated E2E service was IAM-only and deleted after use; the synthetic subscriber was unsubscribed. Production Turnstile was not weakened. Operational recipient remains private configuration. Participant addresses and sensitive tokens are intentionally excluded from repository evidence. Post-confirmation reflection-email delivery is a separate remaining observation and does not block F-033 owner-notification acceptance.</x:v>
      </x:c>
      <x:c r="Y89" s="14" t="str">
        <x:v>I should receive at constantine@aitrailblazer.com a notification for filling out the quiz with who submitted, their email address, and their ordered answers for manual fulfillment.</x:v>
      </x:c>
    </x:row>
    <x:row r="90">
      <x:c r="A90" s="14" t="str">
        <x:v>SUB-012</x:v>
      </x:c>
      <x:c r="B90" s="14" t="str">
        <x:v>Team attribution before deadline</x:v>
      </x:c>
      <x:c r="C90" s="14" t="str">
        <x:v>Challenge submission operations</x:v>
      </x:c>
      <x:c r="D90" s="14" t="str">
        <x:v>SUBMISSION.md; qa_evidence/submission_readiness/deadline-preflight-2026-08-30.txt</x:v>
      </x:c>
      <x:c r="E90" s="14" t="str">
        <x:v>Devpost project team settings</x:v>
      </x:c>
      <x:c r="F90" s="14" t="str">
        <x:v>Challenge entrant with collaborators</x:v>
      </x:c>
      <x:c r="G90" s="14" t="str">
        <x:v>As a challenge entrant with collaborators, I want every teammate invited and accepted before the deadline, so that each contributor receives proper submission credit.</x:v>
      </x:c>
      <x:c r="H90" s="14" t="str">
        <x:v>If the project has teammates, every contributor is invited through Devpost and accepts before September 3, 2026 at 1:00 PM PT. If the entrant is solo, the gate is explicitly marked not applicable.</x:v>
      </x:c>
      <x:c r="I90" s="14" t="str">
        <x:v>The repository does not establish whether this is a solo entry or whether teammate invitations have been accepted.</x:v>
      </x:c>
      <x:c r="J90" s="14" t="str">
        <x:v>Needs Product Decision</x:v>
      </x:c>
      <x:c r="K90" s="14" t="str">
        <x:v>Authenticated Devpost team-state inspection</x:v>
      </x:c>
      <x:c r="L90" s="14" t="str">
        <x:v>1. Decide whether the entry is solo. 2. If not solo, list every contributor. 3. Open Devpost team settings. 4. Verify each invitation is sent and accepted before the deadline.</x:v>
      </x:c>
      <x:c r="M90" s="14" t="str">
        <x:v>UNRESOLVED — teammate status is not inferable from the repository.</x:v>
      </x:c>
      <x:c r="N90" s="14" t="str">
        <x:v>Submission credit can be lost if collaborators are not invited and accepted before the deadline.</x:v>
      </x:c>
      <x:c r="O90" s="14" t="str">
        <x:v>High</x:v>
      </x:c>
      <x:c r="P90" s="14" t="str">
        <x:v>Operator confirmation required; invite and verify teammates now if applicable.</x:v>
      </x:c>
      <x:c r="Q90" s="14" t="str">
        <x:v>No — account-level action cannot be inferred or safely performed without the team decision.</x:v>
      </x:c>
      <x:c r="R90" s="14" t="str">
        <x:v>feature_status_tracker.csv; feature_status_tracker.xlsx; feature_status_tracker.html; feature_qa_report.md; CHANGELOG.md; qa_evidence/submission_readiness/deadline-preflight-2026-08-30.txt</x:v>
      </x:c>
      <x:c r="S90" s="14" t="str"/>
      <x:c r="T90" s="14" t="str">
        <x:v>Inspect the authenticated Devpost team list and record accepted status, or record that the submission is solo.</x:v>
      </x:c>
      <x:c r="U90" s="14" t="str">
        <x:v>NOT RUN — operator decision pending.</x:v>
      </x:c>
      <x:c r="V90" s="14" t="str">
        <x:v>Needs Product Decision</x:v>
      </x:c>
      <x:c r="W90" s="14" t="str">
        <x:v>Yes — confirm solo entry or provide teammate identities for invitation.</x:v>
      </x:c>
      <x:c r="X90" s="14" t="str">
        <x:v>The official reminder states that teammates cannot be added after the deadline.</x:v>
      </x:c>
      <x:c r="Y90" s="14" t="str">
        <x:v>Devpost reminder: teammates must be added and accept before the submission deadline.</x:v>
      </x:c>
    </x:row>
    <x:row r="91">
      <x:c r="A91" s="14" t="str">
        <x:v>WM-014</x:v>
      </x:c>
      <x:c r="B91" s="14" t="str">
        <x:v>Agent State HUD and live lifecycle rail</x:v>
      </x:c>
      <x:c r="C91" s="14" t="str">
        <x:v>WebMCP visibility and trust</x:v>
      </x:c>
      <x:c r="D91" s="14" t="str">
        <x:v>web/index.html; web/styles.css; web/app.js; web/lib/webmcp.js; web/tests/webmcp.test.mjs; scripts/test-webmcp-hud-browser.mjs</x:v>
      </x:c>
      <x:c r="E91" s="14" t="str">
        <x:v>Home page persistent Agent State rail</x:v>
      </x:c>
      <x:c r="F91" s="14" t="str">
        <x:v>Visitor or competition judge using a compatible browser agent</x:v>
      </x:c>
      <x:c r="G91" s="14" t="str">
        <x:v>As a visitor or competition judge, I want to see WebMCP registration and tool activity on the page, so that I can understand when the agent is acting and whether a confirmed action succeeded without opening DevTools.</x:v>
      </x:c>
      <x:c r="H91" s="14" t="str">
        <x:v>A collapsible keyboard-accessible high-contrast rail shows CHECKING, REGISTERING, 8 TOOLS MOUNTED, or DIRECT MODE; bounded mirrorloop:tool_start and mirrorloop:tool_complete events drive a short local event history containing the tool name, allowlisted non-sensitive input summary, measured elapsed time, success/error outcome, and a HUMAN CONFIRMED badge only when answer_reflection_question receives confirmed_by_user true. It never exposes focus text, email, arbitrary fields, or tool results; it is responsive and honors reduced motion. Timing is observational, not a performance guarantee.</x:v>
      </x:c>
      <x:c r="I91" s="14" t="str">
        <x:v>Production now exposes a collapsible Agent State rail. Registration and each tool invocation emit bounded DOM lifecycle events; the rail shows the active tool, validated safe-input summary, observed duration, outcome, and answer-confirmation state. Its five-entry history is browser-local and ephemeral, and private focus text and malformed known-field values are replaced or omitted.</x:v>
      </x:c>
      <x:c r="J91" s="14" t="str">
        <x:v>Verified</x:v>
      </x:c>
      <x:c r="K91" s="14" t="str">
        <x:v>Unit + site contract + real browser registration/invocation + responsive production regression</x:v>
      </x:c>
      <x:c r="L91" s="14" t="str">
        <x:v>1. Verify the pre-fix page lacks the rail and lifecycle events. 2. Register all eight tools and assert CHECKING to REGISTERING to 8 TOOLS MOUNTED. 3. Invoke read-only, confirmed-answer, rejected-answer, and private-focus tools. 4. Assert start/complete event order, outcome, measured duration, and confirmation badge rules. 5. Assert no focus text, email, arbitrary field, or result body enters lifecycle details or DOM. 6. Verify collapse, keyboard focus, mobile layout, no overflow, and reduced motion. 7. Retest eight-tool registration, quiz, commerce, and direct fallback.</x:v>
      </x:c>
      <x:c r="M91" s="14" t="str">
        <x:v>FAIL baseline preserved at qa_evidence/webmcp_glass_cockpit/baseline-2026-08-30.txt. The implementation was then tested through the real eight-tool registration wrapper and page event consumer.</x:v>
      </x:c>
      <x:c r="N91" s="14" t="str">
        <x:v>Resolved — agent activity is visible on the page without weakening confirmation, privacy, fallback, or commerce boundaries.</x:v>
      </x:c>
      <x:c r="O91" s="14" t="str">
        <x:v>Medium</x:v>
      </x:c>
      <x:c r="P91" s="14" t="str">
        <x:v>Yes</x:v>
      </x:c>
      <x:c r="Q91" s="14" t="str">
        <x:v>Yes — added lifecycle instrumentation with fail-isolated observers, a privacy-filtered event contract, the responsive collapsible rail, bounded history, measured local duration, explicit confirmation state, and browser regression coverage.</x:v>
      </x:c>
      <x:c r="R91" s="14" t="str">
        <x:v>web/lib/webmcp.js; web/app.js; web/index.html; web/styles.css; web/tests/webmcp.test.mjs; scripts/test-webmcp-hud-browser.mjs; scripts/validate-site.mjs; package.json; README.md; SUBMISSION.md; CHANGELOG.md; qa_evidence/webmcp_glass_cockpit/</x:v>
      </x:c>
      <x:c r="S91" s="14" t="str">
        <x:v>60762af</x:v>
      </x:c>
      <x:c r="T91" s="14" t="str">
        <x:v>Run npm test, npm run validate, npm run validate:submission, npm run test:webmcp:chrome-ux, npm run test:webmcp:evals, npm run test:webmcp:competition-hardening, npm run test:webmcp:six-role-claims, npm run test:stripe, and MIRRORLOOP_TEST_URL=https://mirrorloopai.com npm run test:webmcp:hud:browser; inspect desktop and 390px screenshots and production versioned assets.</x:v>
      </x:c>
      <x:c r="U91" s="14" t="str">
        <x:v>PASS — 32/32 web tests, site validation, submission validation, Chrome UX, 15-case WebMCP corpus, competition hardening, six-role claims, and Stripe regression passed. The production browser harness registered all eight tools and invoked start_reflection plus a confirmed answer through the real wrapper; desktop and 390px views had no horizontal overflow, collapse reopened by keyboard, event history stayed at five entries, and private focus text was absent. Firebase Hosting deployed versioned styles/app assets. Evidence: qa_evidence/webmcp_glass_cockpit/browser-retest.json, desktop-retest.png, mobile-retest.png, production-browser-retest.txt, and firebase-hosting-deploy.txt.</x:v>
      </x:c>
      <x:c r="V91" s="14" t="str">
        <x:v>Verified</x:v>
      </x:c>
      <x:c r="W91" s="14" t="str">
        <x:v>No</x:v>
      </x:c>
      <x:c r="X91" s="14" t="str">
        <x:v>The rail reports observed per-invocation browser timing only. No frame-rate or zero-dropped-frame claim is made. The first Firebase CLI attempt failed under Node 26; deployment succeeded under the bundled Node 24 runtime.</x:v>
      </x:c>
      <x:c r="Y91" s="14" t="str">
        <x:v>The Agent State HUD &amp; Live Event Rail (The Glass Cockpit): show WebMCP registration, active tool, safe parameters, measured latency, confirmation, and completion in a collapsible high-contrast UI.</x:v>
      </x:c>
    </x:row>
    <x:row r="92">
      <x:c r="A92" s="14" t="str">
        <x:v>WM-015</x:v>
      </x:c>
      <x:c r="B92" s="14" t="str">
        <x:v>Socratic two-choice contrast</x:v>
      </x:c>
      <x:c r="C92" s="14" t="str">
        <x:v>WebMCP guided reflection</x:v>
      </x:c>
      <x:c r="D92" s="14" t="str">
        <x:v>web/lib/webmcp.js; web/app.js; web/lib/quiz-core.js; web/data/quiz.json; web/tests/webmcp.test.mjs</x:v>
      </x:c>
      <x:c r="E92" s="14" t="str">
        <x:v>Native WebMCP compare_choices tool; Agent State HUD</x:v>
      </x:c>
      <x:c r="F92" s="14" t="str">
        <x:v>Quiz participant deciding between two plausible answers</x:v>
      </x:c>
      <x:c r="G92" s="14" t="str">
        <x:v>As a participant torn between two answers, I want my browser agent to contrast them without selecting either, so that I can understand the distinction and make the choice myself.</x:v>
      </x:c>
      <x:c r="H92" s="14" t="str">
        <x:v>A ninth read-only compare_choices tool accepts one integer question_id and two distinct two-digit choice codes; validates all input strictly; reads only public quiz data; returns both labels, lens names, domains, plain-language meanings, a concise neutral contrast, and an explicit no-selection boundary; never mutates quiz state; emits only allowlisted lifecycle fields; stays within the 1,500-character output budget; and is represented accurately in the HUD, manifest, active competition documentation, and evaluators.</x:v>
      </x:c>
      <x:c r="I92" s="14" t="str">
        <x:v>Production exposes nine tools. compare_choices reads the active public quiz question, validates two distinct choice codes, returns both labels/lenses/domains/plain-language meanings plus a neutral distinction, and explicitly leaves both choices unselected. The Agent State HUD reports the invocation without sensitive values.</x:v>
      </x:c>
      <x:c r="J92" s="14" t="str">
        <x:v>Verified</x:v>
      </x:c>
      <x:c r="K92" s="14" t="str">
        <x:v>Source baseline + unit contract + browser state-preservation + active-doc/manifest validation</x:v>
      </x:c>
      <x:c r="L92" s="14" t="str">
        <x:v>1. Assert exactly nine tools after implementation. 2. Verify integer question_id and distinct 01–12 choice codes with additionalProperties false. 3. Reject equal, malformed, missing, or unknown inputs without calling the adapter. 4. Verify output contains both public labels/lenses/domains/meanings plus neutral contrast and no-selection boundary. 5. Invoke compare_choices and verify no answer is recorded and current question does not advance. 6. Verify lifecycle events contain only question_id, choice_a, and choice_b. 7. Verify output stays below 1,500 characters. 8. Verify HUD, manifests, evaluator corpus, README, submission, and active competition artifacts report nine tools. 9. Retest existing answer-confirmation and commerce boundaries.</x:v>
      </x:c>
      <x:c r="M92" s="14" t="str">
        <x:v>PASS — 37/37 web tests include strict schema, adapter isolation, lifecycle redaction, all 792 valid pairings, and output budgets. The 16-case core corpus, 11-case campaign corpus, active artifact validators, Stripe regression, Go test/vet, and local desktop/mobile browser harness all pass. Evidence: qa_evidence/webmcp_compare_choices/local-validation-final.txt and browser-local-final.json.</x:v>
      </x:c>
      <x:c r="N92" s="14" t="str">
        <x:v>Resolved — participants and agents can now distinguish two plausible answers without an ad hoc comparison or state mutation.</x:v>
      </x:c>
      <x:c r="O92" s="14" t="str">
        <x:v>None</x:v>
      </x:c>
      <x:c r="P92" s="14" t="str">
        <x:v>No — completed.</x:v>
      </x:c>
      <x:c r="Q92" s="14" t="str">
        <x:v>Yes — added the distinct read-only compare_choices contract, shared public-data comparison helper, strict validation, lifecycle-safe summaries, dynamic HUD tool count, deterministic corpus cases, active documentation, and browser state-preservation coverage.</x:v>
      </x:c>
      <x:c r="R92" s="14" t="str">
        <x:v>web/lib/quiz-core.js; web/lib/webmcp.js; web/app.js; web/tests/quiz-core.test.mjs; web/tests/webmcp.test.mjs; scripts/test-webmcp-hud-browser.mjs; web/evals/webmcp-evals.json; web/evals/webmcp-campaign-evals.json; competition_manifest.json; README.md; SUBMISSION.md; CONTINUITY.md; CHANGELOG.md; active WebMCP generators/artifacts; qa_evidence/webmcp_compare_choices/; feature_status_tracker.csv; feature_status_tracker.xlsx; feature_status_tracker.html; feature_qa_report.md</x:v>
      </x:c>
      <x:c r="S92" s="14" t="str">
        <x:v>1df9bff</x:v>
      </x:c>
      <x:c r="T92" s="14" t="str">
        <x:v>Run unit, strict-schema, lifecycle, browser mutation, full WebMCP corpus, submission, competition, site, Stripe, and production Chrome registration checks after the tracker-backed implementation.</x:v>
      </x:c>
      <x:c r="U92" s="14" t="str">
        <x:v>PASS — Firebase Hosting deployment completed. Production returned HTTP 200 for index, versioned app/WebMCP assets, and llms.txt; compare_choices was present. Desktop and 390px production browser runs mounted nine tools, invoked comparison 01 vs 06, retained Question 1 of 12 with zero selected answers, showed the bounded lifecycle event, and had no horizontal overflow. Existing confirmed-answer behavior still passed immediately afterward. Evidence: qa_evidence/webmcp_compare_choices/firebase-hosting-deploy.txt, production-assets.txt, production-browser-retest.txt, production-browser-retest.json, desktop-production.png, and mobile-production.png.</x:v>
      </x:c>
      <x:c r="V92" s="14" t="str">
        <x:v>Verified</x:v>
      </x:c>
      <x:c r="W92" s="14" t="str">
        <x:v>No — the user explicitly authorized a distinct ninth read-only tool. The existing eight-tool freeze is superseded only for this bounded, non-mutating capability.</x:v>
      </x:c>
      <x:c r="X92" s="14" t="str">
        <x:v>The API keeps integer question_id for consistency with all existing question tools; choice identifiers remain strict two-digit strings. Comparison is reflective, not diagnostic, ranking, recommendation, or autonomous choice. Historical eight-tool agent evidence remains dated history; a refreshed external-agent selection run is follow-up evidence, not a production blocker.</x:v>
      </x:c>
      <x:c r="Y92" s="14" t="str">
        <x:v>Socratic Dialectic Contrast Tool (compare_choices): compare two competing options on the active question, return an operational contrast without choosing for the user, and reduce decision paralysis.</x:v>
      </x:c>
    </x:row>
    <x:row r="93">
      <x:c r="A93" s="14" t="str">
        <x:v>WM-016</x:v>
      </x:c>
      <x:c r="B93" s="14" t="str">
        <x:v>Provisional answer-impact preview</x:v>
      </x:c>
      <x:c r="C93" s="14" t="str">
        <x:v>WebMCP guided reflection</x:v>
      </x:c>
      <x:c r="D93" s="14" t="str">
        <x:v>web/lib/webmcp.js; web/app.js; web/lib/quiz-core.js; web/data/quiz.json; web/tests/webmcp.test.mjs</x:v>
      </x:c>
      <x:c r="E93" s="14" t="str">
        <x:v>Native WebMCP preview_answer_impact tool; Agent State HUD</x:v>
      </x:c>
      <x:c r="F93" s="14" t="str">
        <x:v>Quiz participant considering a revision after answering all questions</x:v>
      </x:c>
      <x:c r="G93" s="14" t="str">
        <x:v>As a participant considering a different answer, I want to preview how that single change would affect my completed reflection without saving it, so that I can decide whether to revise with informed consent.</x:v>
      </x:c>
      <x:c r="H93" s="14" t="str">
        <x:v>A tenth read-only preview_answer_impact tool accepts one integer question_id and one two-digit hypothetical_choice; requires a complete 12-answer browser session and an existing different answer at that question; clones rather than mutates the answer array; applies the hypothetical answer; runs the canonical deterministic scoreAnswers function; returns current and projected dominant codes/names, whether the dominant changes, a sparse frequency_delta for the removed and added codes, status PROVISIONAL_PREVIEW, and an explicit no-save boundary; emits only allowlisted lifecycle fields; stays within the 1,500-character output budget; and is represented accurately in the HUD, manifest, active competition documentation, and evaluators.</x:v>
      </x:c>
      <x:c r="I93" s="14" t="str">
        <x:v>The production contract exposes nine tools. No preview_answer_impact registration or adapter exists, and the only scoring path calculates the committed 12-answer result.</x:v>
      </x:c>
      <x:c r="J93" s="14" t="str">
        <x:v>Failed Test</x:v>
      </x:c>
      <x:c r="K93" s="14" t="str">
        <x:v>Source baseline + pure scoring simulation + strict schema + browser state-preservation + active-doc/manifest validation</x:v>
      </x:c>
      <x:c r="L93" s="14" t="str">
        <x:v>1. Assert exactly ten tools after implementation. 2. Verify integer question_id and strict 01–12 hypothetical_choice with additionalProperties false. 3. Reject incomplete sessions, unanswered target questions, same-choice previews, malformed inputs, and unknown fields. 4. Verify a cloned answer array is scored using stable tie-breaking and the original is unchanged. 5. Verify output includes current/projected dominant codes and names, dominant_changed, sparse frequency_delta, PROVISIONAL_PREVIEW, and no-save boundary. 6. Invoke the tool in a completed browser session and verify saved choices, visible progress, selection, and result remain unchanged. 7. Verify lifecycle events contain only question_id and hypothetical_choice. 8. Verify output is below 1,500 characters. 9. Update and validate ten-tool HUD, manifests, evaluator corpus, README, submission, and active competition artifacts. 10. Retest confirmation and commerce boundaries.</x:v>
      </x:c>
      <x:c r="M93" s="14" t="str">
        <x:v>FAIL — baseline evidence shows no preview_answer_impact registration, adapter, helper, or tests. Evidence: qa_evidence/webmcp_preview_answer_impact/baseline-2026-08-30.txt.</x:v>
      </x:c>
      <x:c r="N93" s="14" t="str">
        <x:v>A participant cannot inspect the deterministic consequence of one possible revision without first committing that revision and then recomputing the result.</x:v>
      </x:c>
      <x:c r="O93" s="14" t="str">
        <x:v>Medium</x:v>
      </x:c>
      <x:c r="P93" s="14" t="str">
        <x:v>Yes</x:v>
      </x:c>
      <x:c r="Q93" s="14" t="str">
        <x:v>Not yet — discovery and test plan completed before implementation.</x:v>
      </x:c>
      <x:c r="R93" s="14" t="str">
        <x:v>qa_evidence/webmcp_preview_answer_impact/baseline-2026-08-30.txt; feature_status_tracker.csv; feature_status_tracker.xlsx; feature_status_tracker.html; feature_qa_report.md</x:v>
      </x:c>
      <x:c r="S93" s="14" t="str"/>
      <x:c r="T93" s="14" t="str">
        <x:v>Run unit, schema, lifecycle, browser non-mutation, full WebMCP corpus, submission, competition, site, Stripe, Go, and production Chrome checks after implementation.</x:v>
      </x:c>
      <x:c r="U93" s="14" t="str">
        <x:v>NOT RUN — implementation has not started.</x:v>
      </x:c>
      <x:c r="V93" s="14" t="str">
        <x:v>Failed Test</x:v>
      </x:c>
      <x:c r="W93" s="14" t="str">
        <x:v>No — the user explicitly authorized a read-only what-if tool. The bounded contract requires a completed 12-answer session so both current and projected scores are meaningful.</x:v>
      </x:c>
      <x:c r="X93" s="14" t="str">
        <x:v>Use the canonical scoreAnswers function in web/lib/quiz-core.js rather than creating a parallel scorer. Keep integer question_id consistent with existing tools even though the illustrative payload used "04". Return only aggregate differential data; do not expose the full answer array.</x:v>
      </x:c>
      <x:c r="Y93" s="14" t="str">
        <x:v>Client-Side What-If Sensitivity Engine (preview_answer_impact): preview how changing one answer affects the deterministic result before committing the revision.</x:v>
      </x:c>
    </x:row>
  </x:sheetData>
  <x:dataValidations count="4">
    <x:dataValidation type="list" sqref="J2:J93">
      <x:formula1>"Not Reviewed,Story Drafted,Ready For Test,Failed Test,Fix In Progress,Fixed,Retest Failed,Verified,Blocked,Needs Product Decision"</x:formula1>
    </x:dataValidation>
    <x:dataValidation type="list" sqref="O2:O93">
      <x:formula1>"Critical,High,Medium,Low,None"</x:formula1>
    </x:dataValidation>
    <x:dataValidation type="list" sqref="K2:K93">
      <x:formula1>"Code Review,Manual UI,Automated Test,Smoke Test,Regression Test,Accessibility Review,Responsive Review,Integration Test"</x:formula1>
    </x:dataValidation>
    <x:dataValidation type="list" sqref="V2:V93">
      <x:formula1>"Not Reviewed,Story Drafted,Ready For Test,Failed Test,Fix In Progress,Fixed,Retest Failed,Verified,Blocked,Needs Product Decision"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8" hidden="0" customWidth="1"/>
    <x:col min="4" max="4" width="24" hidden="0" customWidth="1"/>
    <x:col min="5" max="5" width="18" hidden="0" customWidth="1"/>
    <x:col min="6" max="6" width="16" hidden="0" customWidth="1"/>
  </x:cols>
  <x:sheetData>
    <x:row r="1" ht="28" customHeight="1">
      <x:c r="A1" s="18" t="str">
        <x:v>Feature QA Audit Dashboard</x:v>
      </x:c>
      <x:c r="B1" s="18"/>
      <x:c r="C1" s="18"/>
      <x:c r="D1" s="18"/>
      <x:c r="E1" s="18"/>
      <x:c r="F1" s="18"/>
    </x:row>
    <x:row r="2" ht="22" customHeight="1"/>
    <x:row r="3" ht="22" customHeight="1">
      <x:c r="A3" s="20" t="str">
        <x:v>Metric</x:v>
      </x:c>
      <x:c r="B3" s="20" t="str">
        <x:v>Value</x:v>
      </x:c>
      <x:c r="D3" s="20" t="str">
        <x:v>Severity</x:v>
      </x:c>
      <x:c r="E3" s="20" t="str">
        <x:v>Open Count</x:v>
      </x:c>
    </x:row>
    <x:row r="4" ht="22" customHeight="1">
      <x:c r="A4" s="21" t="str">
        <x:v>Tracked Features</x:v>
      </x:c>
      <x:c r="B4" s="21" t="n">
        <x:f>COUNTA('Tracker'!$A$2:$A$93)</x:f>
        <x:v>92</x:v>
      </x:c>
      <x:c r="D4" s="21" t="str">
        <x:v>Critical</x:v>
      </x:c>
      <x:c r="E4" s="21" t="n">
        <x:f>COUNTIFS('Tracker'!$O$2:$O$93,"Critical",'Tracker'!$V$2:$V$93,"&lt;&gt;Verified")</x:f>
        <x:v>4</x:v>
      </x:c>
    </x:row>
    <x:row r="5" ht="22" customHeight="1">
      <x:c r="A5" s="21" t="str">
        <x:v>Current Verified</x:v>
      </x:c>
      <x:c r="B5" s="21" t="n">
        <x:f>COUNTIF('Tracker'!$J$2:$J$93,"Verified")</x:f>
        <x:v>61</x:v>
      </x:c>
      <x:c r="D5" s="21" t="str">
        <x:v>High</x:v>
      </x:c>
      <x:c r="E5" s="21" t="n">
        <x:f>COUNTIFS('Tracker'!$O$2:$O$93,"High",'Tracker'!$V$2:$V$93,"&lt;&gt;Verified")</x:f>
        <x:v>2</x:v>
      </x:c>
    </x:row>
    <x:row r="6" ht="22" customHeight="1">
      <x:c r="A6" s="21" t="str">
        <x:v>Failed Test</x:v>
      </x:c>
      <x:c r="B6" s="21" t="n">
        <x:f>COUNTIF('Tracker'!$J$2:$J$93,"Failed Test")</x:f>
        <x:v>2</x:v>
      </x:c>
      <x:c r="D6" s="21" t="str">
        <x:v>Medium</x:v>
      </x:c>
      <x:c r="E6" s="21" t="n">
        <x:f>COUNTIFS('Tracker'!$O$2:$O$93,"Medium",'Tracker'!$V$2:$V$93,"&lt;&gt;Verified")</x:f>
        <x:v>1</x:v>
      </x:c>
    </x:row>
    <x:row r="7" ht="22" customHeight="1">
      <x:c r="A7" s="21" t="str">
        <x:v>Fix In Progress</x:v>
      </x:c>
      <x:c r="B7" s="21" t="n">
        <x:f>COUNTIF('Tracker'!$J$2:$J$93,"Fix In Progress")</x:f>
        <x:v>0</x:v>
      </x:c>
      <x:c r="D7" s="21" t="str">
        <x:v>Low</x:v>
      </x:c>
      <x:c r="E7" s="21" t="n">
        <x:f>COUNTIFS('Tracker'!$O$2:$O$93,"Low",'Tracker'!$V$2:$V$93,"&lt;&gt;Verified")</x:f>
        <x:v>0</x:v>
      </x:c>
    </x:row>
    <x:row r="8" ht="22" customHeight="1">
      <x:c r="A8" s="21" t="str">
        <x:v>Fixed</x:v>
      </x:c>
      <x:c r="B8" s="21" t="n">
        <x:f>COUNTIF('Tracker'!$J$2:$J$93,"Fixed")</x:f>
        <x:v>24</x:v>
      </x:c>
      <x:c r="D8" s="21" t="str">
        <x:v>Needs Product Decision</x:v>
      </x:c>
      <x:c r="E8" s="21" t="n">
        <x:f>COUNTIF('Tracker'!$W$2:$W$93,"Yes")</x:f>
        <x:v>1</x:v>
      </x:c>
    </x:row>
    <x:row r="9" ht="22" customHeight="1">
      <x:c r="A9" s="21" t="str">
        <x:v>Final Verified</x:v>
      </x:c>
      <x:c r="B9" s="21" t="n">
        <x:f>COUNTIF('Tracker'!$V$2:$V$93,"Verified")</x:f>
        <x:v>85</x:v>
      </x:c>
      <x:c r="D9" s="21" t="str">
        <x:v>Rows With Commit Hash</x:v>
      </x:c>
      <x:c r="E9" s="21" t="n">
        <x:v>58</x:v>
      </x:c>
    </x:row>
    <x:row r="10" ht="22" customHeight="1">
      <x:c r="A10" s="21" t="str">
        <x:v>Blocked</x:v>
      </x:c>
      <x:c r="B10" s="21" t="n">
        <x:f>COUNTIF('Tracker'!$V$2:$V$93,"Blocked")</x:f>
        <x:v>0</x:v>
      </x:c>
    </x:row>
    <x:row r="11" ht="22" customHeight="1"/>
    <x:row r="12" ht="40" customHeight="1">
      <x:c r="A12" s="26" t="str">
        <x:v>Use Tracker as the working sheet. Dashboard values are calculated during generation and exported as a portable snapshot.</x:v>
      </x:c>
      <x:c r="B12" s="26"/>
      <x:c r="C12" s="26"/>
      <x:c r="D12" s="26"/>
      <x:c r="E12" s="26"/>
      <x:c r="F12" s="26"/>
    </x:row>
    <x:row r="13" ht="22" customHeight="1"/>
    <x:row r="14" ht="22" customHeight="1"/>
    <x:row r="15" ht="22" customHeight="1"/>
    <x:row r="16" ht="22" customHeight="1"/>
    <x:row r="17" ht="22" customHeight="1"/>
    <x:row r="18" ht="22" customHeight="1"/>
    <x:row r="19" ht="22" customHeight="1"/>
    <x:row r="20" ht="22" customHeight="1"/>
  </x:sheetData>
  <x:mergeCells>
    <x:mergeCell ref="A1:F1"/>
    <x:mergeCell ref="A12:F12"/>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4" hidden="0" customWidth="1"/>
  </x:cols>
  <x:sheetData>
    <x:row r="1">
      <x:c r="A1" s="28" t="str">
        <x:v>Allowed Status</x:v>
      </x:c>
      <x:c r="B1" s="28" t="str">
        <x:v>Allowed Severity</x:v>
      </x:c>
      <x:c r="C1" s="28" t="str">
        <x:v>Suggested Test Type</x:v>
      </x:c>
    </x:row>
    <x:row r="2">
      <x:c r="A2" s="29" t="str">
        <x:v>Not Reviewed</x:v>
      </x:c>
      <x:c r="B2" s="29" t="str">
        <x:v>Critical</x:v>
      </x:c>
      <x:c r="C2" s="29" t="str">
        <x:v>Code Review</x:v>
      </x:c>
    </x:row>
    <x:row r="3">
      <x:c r="A3" s="29" t="str">
        <x:v>Story Drafted</x:v>
      </x:c>
      <x:c r="B3" s="29" t="str">
        <x:v>High</x:v>
      </x:c>
      <x:c r="C3" s="29" t="str">
        <x:v>Manual UI</x:v>
      </x:c>
    </x:row>
    <x:row r="4">
      <x:c r="A4" s="29" t="str">
        <x:v>Ready For Test</x:v>
      </x:c>
      <x:c r="B4" s="29" t="str">
        <x:v>Medium</x:v>
      </x:c>
      <x:c r="C4" s="29" t="str">
        <x:v>Automated Test</x:v>
      </x:c>
    </x:row>
    <x:row r="5">
      <x:c r="A5" s="29" t="str">
        <x:v>Failed Test</x:v>
      </x:c>
      <x:c r="B5" s="29" t="str">
        <x:v>Low</x:v>
      </x:c>
      <x:c r="C5" s="29" t="str">
        <x:v>Smoke Test</x:v>
      </x:c>
    </x:row>
    <x:row r="6">
      <x:c r="A6" s="29" t="str">
        <x:v>Fix In Progress</x:v>
      </x:c>
      <x:c r="B6" s="29" t="str">
        <x:v>None</x:v>
      </x:c>
      <x:c r="C6" s="29" t="str">
        <x:v>Regression Test</x:v>
      </x:c>
    </x:row>
    <x:row r="7">
      <x:c r="A7" s="29" t="str">
        <x:v>Fixed</x:v>
      </x:c>
      <x:c r="B7" s="29"/>
      <x:c r="C7" s="29" t="str">
        <x:v>Accessibility Review</x:v>
      </x:c>
    </x:row>
    <x:row r="8">
      <x:c r="A8" s="29" t="str">
        <x:v>Retest Failed</x:v>
      </x:c>
      <x:c r="B8" s="29"/>
      <x:c r="C8" s="29" t="str">
        <x:v>Responsive Review</x:v>
      </x:c>
    </x:row>
    <x:row r="9">
      <x:c r="A9" s="29" t="str">
        <x:v>Verified</x:v>
      </x:c>
      <x:c r="B9" s="29"/>
      <x:c r="C9" s="29" t="str">
        <x:v>Integration Test</x:v>
      </x:c>
    </x:row>
    <x:row r="10">
      <x:c r="A10" s="29" t="str">
        <x:v>Blocked</x:v>
      </x:c>
      <x:c r="B10" s="29"/>
      <x:c r="C10" s="29"/>
    </x:row>
    <x:row r="11">
      <x:c r="A11" s="29" t="str">
        <x:v>Needs Product Decision</x:v>
      </x:c>
      <x:c r="B11" s="29"/>
      <x:c r="C11" s="29"/>
    </x:row>
    <x:row r="12">
      <x:c r="A12" s="29"/>
      <x:c r="B12" s="29"/>
      <x:c r="C12" s="29"/>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92" hidden="0" customWidth="1"/>
  </x:cols>
  <x:sheetData>
    <x:row r="1" ht="22" customHeight="1">
      <x:c r="A1" s="18" t="str">
        <x:v>Feature QA Workbook Guide</x:v>
      </x:c>
      <x:c r="B1" s="18"/>
      <x:c r="C1" s="18"/>
      <x:c r="D1" s="18"/>
      <x:c r="E1" s="18"/>
      <x:c r="F1" s="18"/>
    </x:row>
    <x:row r="2" ht="22" customHeight="1"/>
    <x:row r="3" ht="22" customHeight="1">
      <x:c r="A3" s="32" t="str">
        <x:v>Step</x:v>
      </x:c>
      <x:c r="B3" s="32" t="str">
        <x:v>Instruction</x:v>
      </x:c>
    </x:row>
    <x:row r="4" ht="52" customHeight="1">
      <x:c r="A4" s="38" t="str">
        <x:v>1</x:v>
      </x:c>
      <x:c r="B4" s="36" t="str">
        <x:v>Keep Tracker as the single source of truth and do not create competing trackers.</x:v>
      </x:c>
    </x:row>
    <x:row r="5" ht="52" customHeight="1">
      <x:c r="A5" s="38" t="str">
        <x:v>2</x:v>
      </x:c>
      <x:c r="B5" s="36" t="str">
        <x:v>Create one row per user-visible feature or critical behavior. User stories describe how a user uses the feature, not how the implementation works.</x:v>
      </x:c>
    </x:row>
    <x:row r="6" ht="52" customHeight="1">
      <x:c r="A6" s="38" t="str">
        <x:v>3</x:v>
      </x:c>
      <x:c r="B6" s="36" t="str">
        <x:v>Use Status during discovery and testing, then use Final Status after retest.</x:v>
      </x:c>
    </x:row>
    <x:row r="7" ht="52" customHeight="1">
      <x:c r="A7" s="38" t="str">
        <x:v>4</x:v>
      </x:c>
      <x:c r="B7" s="36" t="str">
        <x:v>Record commit hashes in column S for any row touched by a fix or follow-up pass.</x:v>
      </x:c>
    </x:row>
    <x:row r="8" ht="52" customHeight="1">
      <x:c r="A8" s="38" t="str">
        <x:v>5</x:v>
      </x:c>
      <x:c r="B8" s="36" t="str">
        <x:v>Use Lists sheet values for Status, Severity, Test Type, and Final Status to keep reporting clean.</x:v>
      </x:c>
    </x:row>
    <x:row r="9" ht="52" customHeight="1">
      <x:c r="A9" s="38" t="str">
        <x:v>6</x:v>
      </x:c>
      <x:c r="B9" s="36" t="str">
        <x:v>Append a dated note to CHANGELOG.md after each completed QA or improvement pass.</x:v>
      </x:c>
    </x:row>
    <x:row r="10" ht="52" customHeight="1">
      <x:c r="A10" s="38" t="str">
        <x:v>7</x:v>
      </x:c>
      <x:c r="B10" s="36" t="str">
        <x:v>Keep the CSV, XLSX, and HTML companion aligned after every tracker update.</x:v>
      </x:c>
    </x:row>
    <x:row r="11" ht="52" customHeight="1">
      <x:c r="A11" s="38" t="str">
        <x:v>8</x:v>
      </x:c>
      <x:c r="B11" s="36" t="str">
        <x:v>Open the Dashboard tab for a quick pass/fail snapshot before closing the loop.</x:v>
      </x:c>
    </x:row>
    <x:row r="12" ht="22" customHeight="1"/>
  </x:sheetData>
  <x:mergeCells>
    <x:mergeCell ref="A1:F1"/>
  </x:mergeCells>
  <x:pageMargins left="0.7" right="0.7" top="0.75" bottom="0.75" header="0.3" footer="0.3"/>
</x:worksheet>
</file>