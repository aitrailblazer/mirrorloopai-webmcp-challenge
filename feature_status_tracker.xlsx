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f3c15f46a44d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0d6c4b28cdf647b0"/>
    <x:sheet xmlns:r="http://schemas.openxmlformats.org/officeDocument/2006/relationships" name="Dashboard" sheetId="2" r:id="R44ee8b44bf3a464b"/>
    <x:sheet xmlns:r="http://schemas.openxmlformats.org/officeDocument/2006/relationships" name="Lists" sheetId="3" r:id="Rd3f93d2d221a4308"/>
    <x:sheet xmlns:r="http://schemas.openxmlformats.org/officeDocument/2006/relationships" name="Instructions" sheetId="4" r:id="R2aa98899087a40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e36b786b1d4264" /><Relationship Type="http://schemas.openxmlformats.org/officeDocument/2006/relationships/theme" Target="/xl/theme/theme1.xml" Id="R033adbdb5f7a4f4f" /><Relationship Type="http://schemas.openxmlformats.org/officeDocument/2006/relationships/sharedStrings" Target="/xl/sharedStrings.xml" Id="Rab46cca6af924a57" /><Relationship Type="http://schemas.openxmlformats.org/officeDocument/2006/relationships/worksheet" Target="/xl/worksheets/sheet1.xml" Id="R0d6c4b28cdf647b0" /><Relationship Type="http://schemas.openxmlformats.org/officeDocument/2006/relationships/worksheet" Target="/xl/worksheets/sheet2.xml" Id="R44ee8b44bf3a464b" /><Relationship Type="http://schemas.openxmlformats.org/officeDocument/2006/relationships/worksheet" Target="/xl/worksheets/sheet3.xml" Id="Rd3f93d2d221a4308" /><Relationship Type="http://schemas.openxmlformats.org/officeDocument/2006/relationships/worksheet" Target="/xl/worksheets/sheet4.xml" Id="R2aa98899087a40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  <x:row r="76">
      <x:c r="A76" s="14" t="str">
        <x:v>RES-007</x:v>
      </x:c>
      <x:c r="B76" s="14" t="str">
        <x:v>Live WebMCP agent model-selection evaluation</x:v>
      </x:c>
      <x:c r="C76" s="14" t="str">
        <x:v>WebMCP evaluation</x:v>
      </x:c>
      <x:c r="D76" s="14" t="str">
        <x:v>web/evals/webmcp-evals.json; scripts/run-webmcp-agent-evals.mjs; scripts/build-webmcp-agent-eval-report.mjs; scripts/validate-webmcp-agent-evidence.mjs; WEBMCP_AGENT_EVAL_REPORT.html; qa_evidence/webmcp_agent_eval/</x:v>
      </x:c>
      <x:c r="E76" s="14" t="str">
        <x:v>Actual WebMCP-capable browser agent</x:v>
      </x:c>
      <x:c r="F76" s="14" t="str">
        <x:v>Competition judge and maintainer</x:v>
      </x:c>
      <x:c r="G76" s="14" t="str">
        <x:v>As a judge or maintainer, I want the 15 intent cases run through an actual WebMCP-capable agent, so that observed tool selection, arguments, ordering, and protected no-tool behavior are measured rather than inferred.</x:v>
      </x:c>
      <x:c r="H76" s="14" t="str">
        <x:v>The named agent/runtime executes all 15 prompts against the production page’s eight native WebMCP tools; raw prompts, tool calls, arguments, outputs, runtime/model identity, timestamps, and failures are preserved; scoring reports exact-call, tool-selection, argument, order, and no-tool-boundary accuracy without treating direct CDP invocation or deterministic fixtures as model selection.</x:v>
      </x:c>
      <x:c r="I76" s="14" t="str">
        <x:v>Gemini 2.5 Flash ran all 15 frozen prompts using eight browser-discovered production WebMCP contracts and executed selected calls through WebMCP Inspector 1.9.13. Strict exact selection+arguments passed 12/15; required tools were in order for 14/15; expected-call argument match was 12/14; literal no-tool boundaries passed 4/5; forbidden mutations were 0/5.</x:v>
      </x:c>
      <x:c r="J76" s="14" t="str">
        <x:v>Verified</x:v>
      </x:c>
      <x:c r="K76" s="14" t="str">
        <x:v>Live browser-agent evaluation + deterministic scorer</x:v>
      </x:c>
      <x:c r="L76" s="14" t="str">
        <x:v>Identify a real WebMCP-capable agent; verify native eight-tool discovery; run every case in an isolated session; capture raw tool invocations; compare with expectedCalls; report exact, selection, argument, order, and no-tool metrics.</x:v>
      </x:c>
      <x:c r="M76" s="14" t="str">
        <x:v>PASS WITH MEASURED VARIANCE — complete live run recorded at qa_evidence/webmcp_agent_eval/2026-08-29T23-46-14Z/agent-eval-results.json; credential-free latest evidence SHA-256 3643f03ba4f1dce6fd57ad33b3c0015f5345f03632d359c43af6d1849bf2379a.</x:v>
      </x:c>
      <x:c r="N76" s="14" t="str">
        <x:v>Three strict mismatches: intent-start normalized focus text and added a read-only orientation call; sequence-orient-before-answer stopped before the oracle’s unconfirmed mutation; boundary-ambiguous-choice made one read-only state check.</x:v>
      </x:c>
      <x:c r="O76" s="14" t="str">
        <x:v>Medium</x:v>
      </x:c>
      <x:c r="P76" s="14" t="str">
        <x:v>Record frozen results without post-hoc corpus edits; separately track the explicit-confirmation oracle conflict.</x:v>
      </x:c>
      <x:c r="Q76" s="14" t="str">
        <x:v>Added an authenticated Vertex Gemini runner over browser-discovered WebMCP contracts, per-case raw evidence, deterministic scoring, and a self-contained evidence report.</x:v>
      </x:c>
      <x:c r="R76" s="14" t="str">
        <x:v>scripts/run-webmcp-agent-evals.mjs; scripts/build-webmcp-agent-eval-report.mjs; scripts/validate-webmcp-agent-evidence.mjs; WEBMCP_AGENT_EVAL_REPORT.html; qa_evidence/webmcp_agent_eval/; README.md; SUBMISSION.md; package.json; package-lock.json; CHANGELOG.md; CONTINUITY.md; feature_status_tracker.csv; .gitignore</x:v>
      </x:c>
      <x:c r="S76" s="14" t="str">
        <x:v>9d39b92</x:v>
      </x:c>
      <x:c r="T76" s="14" t="str">
        <x:v>Run npm test, npm run test:webmcp:evals, npm run test:webmcp:agent-evidence, npm run validate, npm run validate:submission, npm run test:stripe, go test ./..., and go vet ./....</x:v>
      </x:c>
      <x:c r="U76" s="14" t="str">
        <x:v>PASS — 15/15 cases produced complete records; metrics recompute to 12/15 strict exact, 14/15 required in order, 12/14 expected arguments, 4/5 literal no-tool, and 0 forbidden mutations.</x:v>
      </x:c>
      <x:c r="V76" s="14" t="str">
        <x:v>Verified</x:v>
      </x:c>
      <x:c r="W76" s="14" t="str">
        <x:v>No</x:v>
      </x:c>
      <x:c r="X76" s="14" t="str">
        <x:v>Single run per case at temperature 0. Model selection is probabilistic; this is observed performance, not a guarantee. The Inspector UI had no stored API key, so authenticated Vertex AI supplied the model while the extension supplied live tool discovery and execution.</x:v>
      </x:c>
      <x:c r="Y76" s="14" t="str">
        <x:v>Run the 15-case corpus through an actual WebMCP-capable agent and record model-selection accuracy.</x:v>
      </x:c>
    </x:row>
    <x:row r="77">
      <x:c r="A77" s="14" t="str">
        <x:v>RES-008</x:v>
      </x:c>
      <x:c r="B77" s="14" t="str">
        <x:v>Explicit-confirmation eval oracle consistency</x:v>
      </x:c>
      <x:c r="C77" s="14" t="str">
        <x:v>WebMCP evaluation safety boundary</x:v>
      </x:c>
      <x:c r="D77" s="14" t="str">
        <x:v>web/evals/webmcp-evals.json; qa_evidence/webmcp_agent_eval/latest.json; web/lib/webmcp.js</x:v>
      </x:c>
      <x:c r="E77" s="14" t="str">
        <x:v>sequence-orient-before-answer corpus case</x:v>
      </x:c>
      <x:c r="F77" s="14" t="str">
        <x:v>Maintainer and competition judge</x:v>
      </x:c>
      <x:c r="G77" s="14" t="str">
        <x:v>As a maintainer, I want evaluation expectations to preserve explicit human confirmation, so that a safe agent is not penalized for refusing an unauthorized answer mutation.</x:v>
      </x:c>
      <x:c r="H77" s="14" t="str">
        <x:v>No answer_reflection_question call occurs until the prompt contains an explicit human confirmation, matching the tool description and runtime guard.</x:v>
      </x:c>
      <x:c r="I77" s="14" t="str">
        <x:v>The frozen sequence-orient-before-answer oracle expects answer_reflection_question even though the prompt says “after I confirm” and contains no confirmation. Gemini stopped after explanation and asked the human to confirm.</x:v>
      </x:c>
      <x:c r="J77" s="14" t="str">
        <x:v>Needs Product Decision</x:v>
      </x:c>
      <x:c r="K77" s="14" t="str">
        <x:v>Corpus-policy consistency review from live model evidence</x:v>
      </x:c>
      <x:c r="L77" s="14" t="str">
        <x:v>Compare the prompt, expectedCalls, live call trace, answer tool description, and confirmed_by_user runtime guard.</x:v>
      </x:c>
      <x:c r="M77" s="14" t="str">
        <x:v>FAILED ORACLE CONSISTENCY — the expected mutation conflicts with the implemented confirmation boundary.</x:v>
      </x:c>
      <x:c r="N77" s="14" t="str">
        <x:v>The benchmark would reward a model for asserting confirmed_by_user=true before the user actually confirms.</x:v>
      </x:c>
      <x:c r="O77" s="14" t="str">
        <x:v>High</x:v>
      </x:c>
      <x:c r="P77" s="14" t="str">
        <x:v>Decide whether to change the prompt to include explicit confirmation or remove the answer call from the frozen expectation; preserve this first-run baseline.</x:v>
      </x:c>
      <x:c r="Q77" s="14" t="str">
        <x:v>None; the frozen corpus and its first live result remain unchanged to prevent post-hoc score inflation.</x:v>
      </x:c>
      <x:c r="R77" s="14" t="str">
        <x:v>feature_status_tracker.csv; WEBMCP_AGENT_EVAL_REPORT.html</x:v>
      </x:c>
      <x:c r="S77" s="14" t="str"/>
      <x:c r="T77" s="14" t="str">
        <x:v>After product decision, version the corpus and rerun all cases as a new evaluation; do not overwrite the v1 evidence.</x:v>
      </x:c>
      <x:c r="U77" s="14" t="str">
        <x:v>Not run pending product decision.</x:v>
      </x:c>
      <x:c r="V77" s="14" t="str">
        <x:v>Needs Product Decision</x:v>
      </x:c>
      <x:c r="W77" s="14" t="str">
        <x:v>Yes</x:v>
      </x:c>
      <x:c r="X77" s="14" t="str">
        <x:v>This is a benchmark defect, not evidence of unsafe model behavior. The observed model respected the product’s confirmation rule.</x:v>
      </x:c>
      <x:c r="Y77" s="14" t="str">
        <x:v>Run the 15-case corpus through an actual WebMCP-capable agent and record model-selection accuracy.</x:v>
      </x:c>
    </x:row>
  </x:sheetData>
  <x:dataValidations count="4">
    <x:dataValidation type="list" sqref="J2:J77">
      <x:formula1>"Not Reviewed,Story Drafted,Ready For Test,Failed Test,Fix In Progress,Fixed,Retest Failed,Verified,Blocked,Needs Product Decision"</x:formula1>
    </x:dataValidation>
    <x:dataValidation type="list" sqref="O2:O77">
      <x:formula1>"Critical,High,Medium,Low,None"</x:formula1>
    </x:dataValidation>
    <x:dataValidation type="list" sqref="K2:K77">
      <x:formula1>"Code Review,Manual UI,Automated Test,Smoke Test,Regression Test,Accessibility Review,Responsive Review,Integration Test"</x:formula1>
    </x:dataValidation>
    <x:dataValidation type="list" sqref="V2:V77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COUNTA('Tracker'!$A$2:$A$77)</x:f>
        <x:v>76</x:v>
      </x:c>
      <x:c r="D4" s="21" t="str">
        <x:v>Critical</x:v>
      </x:c>
      <x:c r="E4" s="21" t="n">
        <x:f>COUNTIFS('Tracker'!$O$2:$O$77,"Critical",'Tracker'!$V$2:$V$77,"&lt;&gt;Verified")</x:f>
        <x:v>4</x:v>
      </x:c>
    </x:row>
    <x:row r="5" ht="22" customHeight="1">
      <x:c r="A5" s="21" t="str">
        <x:v>Current Verified</x:v>
      </x:c>
      <x:c r="B5" s="21" t="n">
        <x:f>COUNTIF('Tracker'!$J$2:$J$77,"Verified")</x:f>
        <x:v>53</x:v>
      </x:c>
      <x:c r="D5" s="21" t="str">
        <x:v>High</x:v>
      </x:c>
      <x:c r="E5" s="21" t="n">
        <x:f>COUNTIFS('Tracker'!$O$2:$O$77,"High",'Tracker'!$V$2:$V$77,"&lt;&gt;Verified")</x:f>
        <x:v>1</x:v>
      </x:c>
    </x:row>
    <x:row r="6" ht="22" customHeight="1">
      <x:c r="A6" s="21" t="str">
        <x:v>Failed Test</x:v>
      </x:c>
      <x:c r="B6" s="21" t="n">
        <x:f>COUNTIF('Tracker'!$J$2:$J$77,"Failed Test")</x:f>
        <x:v>1</x:v>
      </x:c>
      <x:c r="D6" s="21" t="str">
        <x:v>Medium</x:v>
      </x:c>
      <x:c r="E6" s="21" t="n">
        <x:f>COUNTIFS('Tracker'!$O$2:$O$77,"Medium",'Tracker'!$V$2:$V$77,"&lt;&gt;Verified")</x:f>
        <x:v>0</x:v>
      </x:c>
    </x:row>
    <x:row r="7" ht="22" customHeight="1">
      <x:c r="A7" s="21" t="str">
        <x:v>Fix In Progress</x:v>
      </x:c>
      <x:c r="B7" s="21" t="n">
        <x:f>COUNTIF('Tracker'!$J$2:$J$77,"Fix In Progress")</x:f>
        <x:v>0</x:v>
      </x:c>
      <x:c r="D7" s="21" t="str">
        <x:v>Low</x:v>
      </x:c>
      <x:c r="E7" s="21" t="n">
        <x:f>COUNTIFS('Tracker'!$O$2:$O$77,"Low",'Tracker'!$V$2:$V$77,"&lt;&gt;Verified")</x:f>
        <x:v>0</x:v>
      </x:c>
    </x:row>
    <x:row r="8" ht="22" customHeight="1">
      <x:c r="A8" s="21" t="str">
        <x:v>Fixed</x:v>
      </x:c>
      <x:c r="B8" s="21" t="n">
        <x:f>COUNTIF('Tracker'!$J$2:$J$77,"Fixed")</x:f>
        <x:v>18</x:v>
      </x:c>
      <x:c r="D8" s="21" t="str">
        <x:v>Needs Product Decision</x:v>
      </x:c>
      <x:c r="E8" s="21" t="n">
        <x:f>COUNTIF('Tracker'!$W$2:$W$77,"Yes")</x:f>
        <x:v>1</x:v>
      </x:c>
    </x:row>
    <x:row r="9" ht="22" customHeight="1">
      <x:c r="A9" s="21" t="str">
        <x:v>Final Verified</x:v>
      </x:c>
      <x:c r="B9" s="21" t="n">
        <x:f>COUNTIF('Tracker'!$V$2:$V$77,"Verified")</x:f>
        <x:v>71</x:v>
      </x:c>
      <x:c r="D9" s="21" t="str">
        <x:v>Rows With Commit Hash</x:v>
      </x:c>
      <x:c r="E9" s="21" t="n">
        <x:v>44</x:v>
      </x:c>
    </x:row>
    <x:row r="10" ht="22" customHeight="1">
      <x:c r="A10" s="21" t="str">
        <x:v>Blocked</x:v>
      </x:c>
      <x:c r="B10" s="21" t="n">
        <x:f>COUNTIF('Tracker'!$V$2:$V$77,"Blocked")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