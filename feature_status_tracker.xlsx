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5a5c6fb20e41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f59cfe62c6944af8"/>
    <x:sheet xmlns:r="http://schemas.openxmlformats.org/officeDocument/2006/relationships" name="Dashboard" sheetId="2" r:id="R88acdbf143e94f15"/>
    <x:sheet xmlns:r="http://schemas.openxmlformats.org/officeDocument/2006/relationships" name="Lists" sheetId="3" r:id="Rb4a81438b67c47f9"/>
    <x:sheet xmlns:r="http://schemas.openxmlformats.org/officeDocument/2006/relationships" name="Instructions" sheetId="4" r:id="R9d7198669d6445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7b186c84fb427a" /><Relationship Type="http://schemas.openxmlformats.org/officeDocument/2006/relationships/theme" Target="/xl/theme/theme1.xml" Id="R1bedbf60a7714646" /><Relationship Type="http://schemas.openxmlformats.org/officeDocument/2006/relationships/sharedStrings" Target="/xl/sharedStrings.xml" Id="R1e455cfbcc884d17" /><Relationship Type="http://schemas.openxmlformats.org/officeDocument/2006/relationships/worksheet" Target="/xl/worksheets/sheet1.xml" Id="Rf59cfe62c6944af8" /><Relationship Type="http://schemas.openxmlformats.org/officeDocument/2006/relationships/worksheet" Target="/xl/worksheets/sheet2.xml" Id="R88acdbf143e94f15" /><Relationship Type="http://schemas.openxmlformats.org/officeDocument/2006/relationships/worksheet" Target="/xl/worksheets/sheet3.xml" Id="Rb4a81438b67c47f9" /><Relationship Type="http://schemas.openxmlformats.org/officeDocument/2006/relationships/worksheet" Target="/xl/worksheets/sheet4.xml" Id="R9d7198669d6445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Persona-pass regression on 2026-08-26: PASS; see qa_evidence/persona-audit/persona-retest-after.txt.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Card 012 attraction</x:v>
      </x:c>
      <x:c r="C3" s="14" t="str">
        <x:v>Landing</x:v>
      </x:c>
      <x:c r="D3" s="14" t="str">
        <x:v>web/index.html; web/images/arc01-card-012-arrival.webp</x:v>
      </x:c>
      <x:c r="E3" s="14" t="str">
        <x:v>/ hero</x:v>
      </x:c>
      <x:c r="F3" s="14" t="str">
        <x:v>Curious visitor</x:v>
      </x:c>
      <x:c r="G3" s="14" t="str">
        <x:v>As a curious visitor, I want to see a compelling card from the collection, so that I can understand the visual world before starting.</x:v>
      </x:c>
      <x:c r="H3" s="14" t="str">
        <x:v>Card 012 is visible, legible, meaningfully captioned, optimized, and links to the quiz.</x:v>
      </x:c>
      <x:c r="I3" s="14" t="str">
        <x:v>PASS — production Card 012 image returns 200, has descriptive alternative text and caption, and links to the quiz.</x:v>
      </x:c>
      <x:c r="J3" s="14" t="str">
        <x:v>Verified</x:v>
      </x:c>
      <x:c r="K3" s="14" t="str">
        <x:v>Automated + browser</x:v>
      </x:c>
      <x:c r="L3" s="14" t="str">
        <x:v>Load /; verify Card 012 image loads, alt text/caption are meaningful, and activation reaches #quiz.</x:v>
      </x:c>
      <x:c r="M3" s="14" t="str">
        <x:v>PASS — production Card 012 image returns 200, has descriptive alternative text and caption, and links to the quiz.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Persona-pass regression on 2026-08-26: PASS; see qa_evidence/persona-audit/persona-retest-after.txt.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Persona-pass regression on 2026-08-26: PASS; see qa_evidence/persona-audit/persona-retest-after.txt.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Persona-pass regression on 2026-08-26: PASS; see qa_evidence/persona-audit/persona-retest-after.txt.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Persona-pass regression on 2026-08-26: PASS; see qa_evidence/persona-audit/persona-retest-after.txt.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Persona-pass regression on 2026-08-26: PASS; see qa_evidence/persona-audit/persona-retest-after.txt.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Persona-pass regression on 2026-08-26: PASS; see qa_evidence/persona-audit/persona-retest-after.txt.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Persona-pass regression on 2026-08-26: PASS; see qa_evidence/persona-audit/persona-retest-after.txt.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Persona-pass regression on 2026-08-26: PASS; see qa_evidence/persona-audit/persona-retest-after.txt.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</x:v>
      </x:c>
      <x:c r="J11" s="14" t="str">
        <x:v>Fixed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FAIL — Production email capture was disabled before the API was available.</x:v>
      </x:c>
      <x:c r="N11" s="14" t="str">
        <x:v>Production email capture was disabled before the API was available.</x:v>
      </x:c>
      <x:c r="O11" s="14" t="str">
        <x:v>High</x:v>
      </x:c>
      <x:c r="P11" s="14" t="str">
        <x:v>Enable only after production API health and security checks pass.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Persona-pass regression on 2026-08-26: PASS; see qa_evidence/persona-audit/persona-retest-after.txt.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</x:v>
      </x:c>
      <x:c r="J12" s="14" t="str">
        <x:v>Fixed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FAIL — Production signup was unavailable; initial secret versions included trailing line endings that produced an invalid Resend Authorization header.</x:v>
      </x:c>
      <x:c r="N12" s="14" t="str">
        <x:v>Production signup was unavailable; initial secret versions included trailing line endings that produced an invalid Resend Authorization header.</x:v>
      </x:c>
      <x:c r="O12" s="14" t="str">
        <x:v>High</x:v>
      </x:c>
      <x:c r="P12" s="14" t="str">
        <x:v>Deploy the protected API, trim secret-bearing configuration, and prove challenge enforcement.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</x:v>
      </x:c>
      <x:c r="J13" s="14" t="str">
        <x:v>Fixed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FAIL — Initial confirmation used state-changing GET; an email scanner followed the link and activated a QA record without a deliberate user action.</x:v>
      </x:c>
      <x:c r="N13" s="14" t="str">
        <x:v>Initial confirmation used state-changing GET; an email scanner followed the link and activated a QA record without a deliberate user action.</x:v>
      </x:c>
      <x:c r="O13" s="14" t="str">
        <x:v>Critical</x:v>
      </x:c>
      <x:c r="P13" s="14" t="str">
        <x:v>Make GET side-effect free and require explicit POST confirmation.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</x:v>
      </x:c>
      <x:c r="J14" s="14" t="str">
        <x:v>Fixed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FAIL — Initial unsubscribe used state-changing GET and was vulnerable to link scanners; provider Reply-To was absent and newline-contaminated API key failed delivery.</x:v>
      </x:c>
      <x:c r="N14" s="14" t="str">
        <x:v>Initial unsubscribe used state-changing GET and was vulnerable to link scanners; provider Reply-To was absent and newline-contaminated API key failed delivery.</x:v>
      </x:c>
      <x:c r="O14" s="14" t="str">
        <x:v>Critical</x:v>
      </x:c>
      <x:c r="P14" s="14" t="str">
        <x:v>Require explicit POST unsubscribe, trim provider credentials, configure Reply-To, and verify delivery.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</x:v>
      </x:c>
      <x:c r="J15" s="14" t="str">
        <x:v>Fixed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FAIL — The published privacy address privacy@mirrorloopai.com was not a monitored mailbox.</x:v>
      </x:c>
      <x:c r="N15" s="14" t="str">
        <x:v>The published privacy address privacy@mirrorloopai.com was not a monitored mailbox.</x:v>
      </x:c>
      <x:c r="O15" s="14" t="str">
        <x:v>High</x:v>
      </x:c>
      <x:c r="P15" s="14" t="str">
        <x:v>Publish the monitored Google Workspace address and use it as Reply-To.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Persona-pass regression on 2026-08-26: PASS; see qa_evidence/persona-audit/persona-retest-after.txt.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</x:v>
      </x:c>
      <x:c r="J17" s="14" t="str">
        <x:v>Fixed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FAIL — Production Lighthouse found 1.71:1 contrast for the subscriber form note on the light card.</x:v>
      </x:c>
      <x:c r="N17" s="14" t="str">
        <x:v>Production Lighthouse found 1.71:1 contrast for the subscriber form note on the light card.</x:v>
      </x:c>
      <x:c r="O17" s="14" t="str">
        <x:v>Medium</x:v>
      </x:c>
      <x:c r="P17" s="14" t="str">
        <x:v>Set an email-card-specific foreground color meeting WCAG AA.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Persona-pass regression on 2026-08-26: PASS; see qa_evidence/persona-audit/persona-retest-after.txt.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</x:v>
      </x:c>
      <x:c r="J18" s="14" t="str">
        <x:v>Fixed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FAIL — Turnstile expiration/failure had no page-level recovery message, and the original /healthz path was intercepted upstream.</x:v>
      </x:c>
      <x:c r="N18" s="14" t="str">
        <x:v>Turnstile expiration/failure had no page-level recovery message, and the original /healthz path was intercepted upstream.</x:v>
      </x:c>
      <x:c r="O18" s="14" t="str">
        <x:v>Medium</x:v>
      </x:c>
      <x:c r="P18" s="14" t="str">
        <x:v>Add callbacks with recovery copy and expose health under the /api/v1 rewrite.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Persona-pass regression on 2026-08-26: PASS; see qa_evidence/persona-audit/persona-retest-after.txt.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</x:v>
      </x:c>
      <x:c r="J20" s="14" t="str">
        <x:v>Fixed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FAIL — The static site was live, but billing, budget alerts, Firestore, secrets, Cloud Run, and the production API rewrite were not active.</x:v>
      </x:c>
      <x:c r="N20" s="14" t="str">
        <x:v>The static site was live, but billing, budget alerts, Firestore, secrets, Cloud Run, and the production API rewrite were not active.</x:v>
      </x:c>
      <x:c r="O20" s="14" t="str">
        <x:v>High</x:v>
      </x:c>
      <x:c r="P20" s="14" t="str">
        <x:v>Provision and deploy the bounded production stack.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1; temporary QA service is removed; full hosting+firestore deploy succeeds without force.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</x:v>
      </x:c>
      <x:c r="J21" s="14" t="str">
        <x:v>Fixed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FAIL — discovery confirmed no conversion analytics implementation existed before this tracker-backed pass.</x:v>
      </x:c>
      <x:c r="N21" s="14" t="str">
        <x:v>No aggregate conversion measurement exists, so start-to-completion and completion-to-confirmation rates cannot be observed.</x:v>
      </x:c>
      <x:c r="O21" s="14" t="str">
        <x:v>Medium</x:v>
      </x:c>
      <x:c r="P21" s="14" t="str">
        <x:v>Yes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Go, race, vet, module, web, and site-validation gates passed; production accepted only allowlisted origin/event payloads, denied sensitive fields and anonymous Firestore reads, stored aggregate-only document fields, suppressed duplicate tab events, and retained 100 Lighthouse category scores. Persona-pass regression on 2026-08-26: PASS; see qa_evidence/persona-audit/persona-retest-after.txt.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At 390x844, Card 012 is placed before the product explanation and consumes more than the first viewport; the value proposition and CTA begin below it.</x:v>
      </x:c>
      <x:c r="J22" s="14" t="str">
        <x:v>Fixed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FAIL — a first-time mobile visitor sees an unexplained full-screen card before learning what the product is.</x:v>
      </x:c>
      <x:c r="N22" s="14" t="str">
        <x:v>The mobile hero prioritizes decoration over orientation and action.</x:v>
      </x:c>
      <x:c r="O22" s="14" t="str">
        <x:v>Medium</x:v>
      </x:c>
      <x:c r="P22" s="14" t="str">
        <x:v>Yes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the first mobile viewport now communicates duration, purpose, CTA, and boundaries before the card.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Boundaries are clear, but several question section labels use unexplained technical or esoteric terms that imply more authority than the simple reflective scoring warrants.</x:v>
      </x:c>
      <x:c r="J23" s="14" t="str">
        <x:v>Fixed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FAIL — labels including Future-Pull Mechanics, Decision Physics, Shadow Contracts, and Pattern Collapse reduce plain-language trust.</x:v>
      </x:c>
      <x:c r="N23" s="14" t="str">
        <x:v>Unexplained system vocabulary conflicts with the nontechnical reflective contract.</x:v>
      </x:c>
      <x:c r="O23" s="14" t="str">
        <x:v>Medium</x:v>
      </x:c>
      <x:c r="P23" s="14" t="str">
        <x:v>Yes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all 12 topics and result domains are understandable without technical or esoteric system knowledge.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Every question renders 12 choices at once. On 390x844 only part of the list fits and Next is multiple screens below; a full run requires scanning 144 labels.</x:v>
      </x:c>
      <x:c r="J24" s="14" t="str">
        <x:v>Fixed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FAIL — the mobile quiz is operable but too scan-heavy for the stated two-minute experience.</x:v>
      </x:c>
      <x:c r="N24" s="14" t="str">
        <x:v>Twelve simultaneously visible options per question create avoidable mobile cognitive and scrolling load.</x:v>
      </x:c>
      <x:c r="O24" s="14" t="str">
        <x:v>High</x:v>
      </x:c>
      <x:c r="P24" s="14" t="str">
        <x:v>Yes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production exposes four response groups, one open group, three visible choices, and completes all 12 questions without horizontal overflow.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Anonymous completion and aggregate-only payloads pass, but the concise analytics disclosure is discoverable only through the footer privacy page.</x:v>
      </x:c>
      <x:c r="J25" s="14" t="str">
        <x:v>Fixed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FAIL — the visitor cannot learn about anonymous aggregate counting at the point of starting the quiz.</x:v>
      </x:c>
      <x:c r="N25" s="14" t="str">
        <x:v>The pre-start privacy promise omits the aggregate analytics behavior.</x:v>
      </x:c>
      <x:c r="O25" s="14" t="str">
        <x:v>Medium</x:v>
      </x:c>
      <x:c r="P25" s="14" t="str">
        <x:v>Yes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initial production load makes only first-party requests; the pre-start copy explains optional email, in-browser choices, aggregate counts, and links to details.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keyboard-only start, select, Next, and question transition worked; Lighthouse accessibility scored 100.</x:v>
      </x:c>
      <x:c r="N26" s="14" t="str"/>
      <x:c r="O26" s="14" t="str">
        <x:v>High</x:v>
      </x:c>
      <x:c r="P26" s="14" t="str">
        <x:v>No</x:v>
      </x:c>
      <x:c r="Q26" s="14" t="str"/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disclosure state is announced; Enter selects and focuses Next; Next focuses the new heading; retake and mobile/desktop overflow checks pass; Lighthouse accessibility remains 100.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Result language and action prompts are safe, but several question labels use ominous or pathologizing language during a potentially stressful reflection.</x:v>
      </x:c>
      <x:c r="J27" s="14" t="str">
        <x:v>Fixed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FAIL — Shadow Contracts, Pattern Collapse, destabilizes, and breaks are unnecessarily loaded for the public experience.</x:v>
      </x:c>
      <x:c r="N27" s="14" t="str">
        <x:v>Loaded system vocabulary can intensify rather than steady a vulnerable visitor.</x:v>
      </x:c>
      <x:c r="O27" s="14" t="str">
        <x:v>High</x:v>
      </x:c>
      <x:c r="P27" s="14" t="str">
        <x:v>Yes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public prompts no longer use the flagged ominous system terms, and all results retain non-diagnostic boundaries and small actionable prompts.</x:v>
      </x:c>
      <x:c r="V27" s="14" t="str">
        <x:v>Verified</x:v>
      </x:c>
      <x:c r="W27" s="14" t="str">
        <x:v>No</x:v>
      </x:c>
      <x:c r="X27" s="14" t="str">
        <x:v>Evidence: qa_evidence/persona-audit/persona-retest-after.txt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Retake resets correctly, but the supporting pattern is an unexplained name; when all answers select one archetype, a zero-count archetype is still displayed as supporting because of deterministic tie-breaking.</x:v>
      </x:c>
      <x:c r="J28" s="14" t="str">
        <x:v>Fixed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FAIL — a zero-evidence supporting pattern can be shown, and nonzero supporting patterns receive no explanation.</x:v>
      </x:c>
      <x:c r="N28" s="14" t="str">
        <x:v>The supporting-pattern presentation overstates evidence and lacks interpretive context.</x:v>
      </x:c>
      <x:c r="O28" s="14" t="str">
        <x:v>Medium</x:v>
      </x:c>
      <x:c r="P28" s="14" t="str">
        <x:v>Yes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7/5 production answers explain both patterns; 12/0 answers state that no second pattern stood out; retake resets all answer state.</x:v>
      </x:c>
      <x:c r="V28" s="14" t="str">
        <x:v>Verified</x:v>
      </x:c>
      <x:c r="W28" s="14" t="str">
        <x:v>No</x:v>
      </x:c>
      <x:c r="X28" s="14" t="str">
        <x:v>Evidence: qa_evidence/persona-audit/persona-retest-after.txt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FAIL — after the first persona-improvement deploy, production served the new HTML while the browser reused the previous app.js; the expected response-group elements were absent.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FAIL — production reported section “Finding direction” from fresh quiz JSON but zero .response-group elements because cached app.js rendered the old fieldset implementation.</x:v>
      </x:c>
      <x:c r="N29" s="14" t="str">
        <x:v>Stable asset URLs permit a mixed release when Firebase or the browser caches JavaScript and CSS for up to one hour.</x:v>
      </x:c>
      <x:c r="O29" s="14" t="str">
        <x:v>High</x:v>
      </x:c>
      <x:c r="P29" s="14" t="str">
        <x:v>Yes</x:v>
      </x:c>
      <x:c r="Q29" s="14" t="str">
        <x:v>Added one release version to HTML stylesheet/config/app URLs and matching JavaScript module imports, then redeployed and verified the production DOM.</x:v>
      </x:c>
      <x:c r="R29" s="14" t="str">
        <x:v>web/index.html; web/privacy.html; web/confirmed.html; web/app.js</x:v>
      </x:c>
      <x:c r="S29" s="14" t="str">
        <x:v>7f06937bcbdb9d91c2c243920f8d68a06784f064</x:v>
      </x:c>
      <x:c r="T29" s="14" t="str">
        <x:v>Add one release version across HTML asset URLs and JavaScript module imports; redeploy; reload the existing browser session and verify all new elements and behaviors.</x:v>
      </x:c>
      <x:c r="U29" s="14" t="str">
        <x:v>PASS — release 20260826-3 loaded version-matched CSS, config, app, and modules and exposed the expected progressive response-group DOM.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</x:v>
      </x:c>
      <x:c r="J30" s="14" t="str">
        <x:v>Fixed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FAIL baseline recorded before fix; see qa_evidence/email-audit/baseline-tests.txt.</x:v>
      </x:c>
      <x:c r="N30" s="14" t="str">
        <x:v>Confirmation email does not disclose the full consequence of confirmation and is HTML-only.</x:v>
      </x:c>
      <x:c r="O30" s="14" t="str">
        <x:v>High</x:v>
      </x:c>
      <x:c r="P30" s="14" t="str">
        <x:v>Add explicit dual-purpose consent explanation, scanner-safe CTA wording, expiry/control copy, fallback URL, preheader, and plain-text part.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targeted subscriber tests, full Go tests, race test, Go vet, module verification, browser unit tests, and static-site validation passed. Evidence: qa_evidence/email-audit/targeted-retest.txt; go-test-all.txt; go-race.txt; go-vet.txt; go-mod-verify.txt; web-tests.txt. Production revision mirrorloopai-subscriber-00006-nq2 is ready at 100% traffic; custom-domain /api/v1/health returned status ok. Evidence: qa_evidence/email-audit/production-deploy.txt; production-revision.json; production-smoke.txt.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</x:v>
      </x:c>
      <x:c r="J31" s="14" t="str">
        <x:v>Fixed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FAIL — reflection payload omitted plain-language domain, interpretation, practical prompt, evidence count, and text alternative; subject omitted the result name.</x:v>
      </x:c>
      <x:c r="N31" s="14" t="str">
        <x:v>Delivered email does not preserve the useful result shown in the browser.</x:v>
      </x:c>
      <x:c r="O31" s="14" t="str">
        <x:v>High</x:v>
      </x:c>
      <x:c r="P31" s="14" t="str">
        <x:v>Share canonical backend reflection copy, persist evidence counts, and render the full useful result in HTML and text.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targeted subscriber tests, full Go tests, race test, Go vet, module verification, browser unit tests, and static-site validation passed. Evidence: qa_evidence/email-audit/targeted-retest.txt; go-test-all.txt; go-race.txt; go-vet.txt; go-mod-verify.txt; web-tests.txt. Production revision mirrorloopai-subscriber-00006-nq2 is ready at 100% traffic; custom-domain /api/v1/health returned status ok. Evidence: qa_evidence/email-audit/production-deploy.txt; production-revision.json; production-smoke.txt.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</x:v>
      </x:c>
      <x:c r="J32" s="14" t="str">
        <x:v>Fixed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FAIL — twelve identical answers produced secondary code 02 with zero supporting answers; HTML still called it a supporting pattern.</x:v>
      </x:c>
      <x:c r="N32" s="14" t="str">
        <x:v>Backend scoring invents and emails a zero-count supporting archetype.</x:v>
      </x:c>
      <x:c r="O32" s="14" t="str">
        <x:v>High</x:v>
      </x:c>
      <x:c r="P32" s="14" t="str">
        <x:v>Record deterministic counts and leave the supporting result empty unless its observed count is greater than zero.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targeted subscriber tests, full Go tests, race test, Go vet, module verification, browser unit tests, and static-site validation passed. Evidence: qa_evidence/email-audit/targeted-retest.txt; go-test-all.txt; go-race.txt; go-vet.txt; go-mod-verify.txt; web-tests.txt. Production revision mirrorloopai-subscriber-00006-nq2 is ready at 100% traffic; custom-domain /api/v1/health returned status ok. Evidence: qa_evidence/email-audit/production-deploy.txt; production-revision.json; production-smoke.txt.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</x:v>
      </x:c>
      <x:c r="J33" s="14" t="str">
        <x:v>Fixed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FAIL — both emails lacked text alternatives and preheaders; confirmation lacked a copyable fallback URL.</x:v>
      </x:c>
      <x:c r="N33" s="14" t="str">
        <x:v>Current payload is not resilient for plain-text clients and offers limited email accessibility structure.</x:v>
      </x:c>
      <x:c r="O33" s="14" t="str">
        <x:v>Medium</x:v>
      </x:c>
      <x:c r="P33" s="14" t="str">
        <x:v>Send HTML and text content, with semantic HTML, inline styles, preheaders, descriptive links, and fallback URL.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targeted subscriber tests, full Go tests, race test, Go vet, module verification, browser unit tests, and static-site validation passed. Evidence: qa_evidence/email-audit/targeted-retest.txt; go-test-all.txt; go-race.txt; go-vet.txt; go-mod-verify.txt; web-tests.txt. Production revision mirrorloopai-subscriber-00006-nq2 is ready at 100% traffic; custom-domain /api/v1/health returned status ok. Evidence: qa_evidence/email-audit/production-deploy.txt; production-revision.json; production-smoke.txt.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</x:v>
      </x:c>
      <x:c r="J34" s="14" t="str">
        <x:v>Fixed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FAIL — reflection payload included unsubscribe but did not say the user joined the launch list, what updates to expect, or expose that expectation in either body format.</x:v>
      </x:c>
      <x:c r="N34" s="14" t="str">
        <x:v>The first delivered reflection does not establish the ongoing launch-list relationship.</x:v>
      </x:c>
      <x:c r="O34" s="14" t="str">
        <x:v>Medium</x:v>
      </x:c>
      <x:c r="P34" s="14" t="str">
        <x:v>Explain occasional App Store/product updates and control in the reflection email while preserving Reply-To metadata.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targeted subscriber tests, full Go tests, race test, Go vet, module verification, browser unit tests, and static-site validation passed. Evidence: qa_evidence/email-audit/targeted-retest.txt; go-test-all.txt; go-race.txt; go-vet.txt; go-mod-verify.txt; web-tests.txt. Production revision mirrorloopai-subscriber-00006-nq2 is ready at 100% traffic; custom-domain /api/v1/health returned status ok. Evidence: qa_evidence/email-audit/production-deploy.txt; production-revision.json; production-smoke.txt.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</x:v>
      </x:c>
      <x:c r="Y34" s="14" t="str">
        <x:v>Audit what users receive by email after the quiz, suggest improvements, and implement them so the website can build an audience before App Store release.</x:v>
      </x:c>
    </x:row>
  </x:sheetData>
  <x:dataValidations count="4">
    <x:dataValidation type="list" sqref="J2:J34">
      <x:formula1>"Not Reviewed,Story Drafted,Ready For Test,Failed Test,Fix In Progress,Fixed,Retest Failed,Verified,Blocked,Needs Product Decision"</x:formula1>
    </x:dataValidation>
    <x:dataValidation type="list" sqref="O2:O34">
      <x:formula1>"Critical,High,Medium,Low,None"</x:formula1>
    </x:dataValidation>
    <x:dataValidation type="list" sqref="K2:K34">
      <x:formula1>"Code Review,Manual UI,Automated Test,Smoke Test,Regression Test,Accessibility Review,Responsive Review,Integration Test"</x:formula1>
    </x:dataValidation>
    <x:dataValidation type="list" sqref="V2:V34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COUNTA('Tracker'!$A$2:$A$34)</x:f>
        <x:v>33</x:v>
      </x:c>
      <x:c r="D4" s="21" t="str">
        <x:v>Critical</x:v>
      </x:c>
      <x:c r="E4" s="21" t="n">
        <x:f>COUNTIFS('Tracker'!$O$2:$O$34,"Critical",'Tracker'!$V$2:$V$34,"&lt;&gt;Verified")</x:f>
        <x:v>0</x:v>
      </x:c>
    </x:row>
    <x:row r="5" ht="22" customHeight="1">
      <x:c r="A5" s="21" t="str">
        <x:v>Current Verified</x:v>
      </x:c>
      <x:c r="B5" s="21" t="n">
        <x:f>COUNTIF('Tracker'!$J$2:$J$34,"Verified")</x:f>
        <x:v>12</x:v>
      </x:c>
      <x:c r="D5" s="21" t="str">
        <x:v>High</x:v>
      </x:c>
      <x:c r="E5" s="21" t="n">
        <x:f>COUNTIFS('Tracker'!$O$2:$O$34,"High",'Tracker'!$V$2:$V$34,"&lt;&gt;Verified")</x:f>
        <x:v>0</x:v>
      </x:c>
    </x:row>
    <x:row r="6" ht="22" customHeight="1">
      <x:c r="A6" s="21" t="str">
        <x:v>Failed Test</x:v>
      </x:c>
      <x:c r="B6" s="21" t="n">
        <x:f>COUNTIF('Tracker'!$J$2:$J$34,"Failed Test")</x:f>
        <x:v>0</x:v>
      </x:c>
      <x:c r="D6" s="21" t="str">
        <x:v>Medium</x:v>
      </x:c>
      <x:c r="E6" s="21" t="n">
        <x:f>COUNTIFS('Tracker'!$O$2:$O$34,"Medium",'Tracker'!$V$2:$V$34,"&lt;&gt;Verified")</x:f>
        <x:v>0</x:v>
      </x:c>
    </x:row>
    <x:row r="7" ht="22" customHeight="1">
      <x:c r="A7" s="21" t="str">
        <x:v>Fix In Progress</x:v>
      </x:c>
      <x:c r="B7" s="21" t="n">
        <x:f>COUNTIF('Tracker'!$J$2:$J$34,"Fix In Progress")</x:f>
        <x:v>0</x:v>
      </x:c>
      <x:c r="D7" s="21" t="str">
        <x:v>Low</x:v>
      </x:c>
      <x:c r="E7" s="21" t="n">
        <x:f>COUNTIFS('Tracker'!$O$2:$O$34,"Low",'Tracker'!$V$2:$V$34,"&lt;&gt;Verified")</x:f>
        <x:v>0</x:v>
      </x:c>
    </x:row>
    <x:row r="8" ht="22" customHeight="1">
      <x:c r="A8" s="21" t="str">
        <x:v>Fixed</x:v>
      </x:c>
      <x:c r="B8" s="21" t="n">
        <x:f>COUNTIF('Tracker'!$J$2:$J$34,"Fixed")</x:f>
        <x:v>21</x:v>
      </x:c>
      <x:c r="D8" s="21" t="str">
        <x:v>Needs Product Decision</x:v>
      </x:c>
      <x:c r="E8" s="21" t="n">
        <x:f>COUNTIF('Tracker'!$W$2:$W$34,"Yes")</x:f>
        <x:v>0</x:v>
      </x:c>
    </x:row>
    <x:row r="9" ht="22" customHeight="1">
      <x:c r="A9" s="21" t="str">
        <x:v>Final Verified</x:v>
      </x:c>
      <x:c r="B9" s="21" t="n">
        <x:f>COUNTIF('Tracker'!$V$2:$V$34,"Verified")</x:f>
        <x:v>33</x:v>
      </x:c>
      <x:c r="D9" s="21" t="str">
        <x:v>Rows With Commit Hash</x:v>
      </x:c>
      <x:c r="E9" s="21" t="n">
        <x:v>22</x:v>
      </x:c>
    </x:row>
    <x:row r="10" ht="22" customHeight="1">
      <x:c r="A10" s="21" t="str">
        <x:v>Blocked</x:v>
      </x:c>
      <x:c r="B10" s="21" t="n">
        <x:f>COUNTIF('Tracker'!$V$2:$V$34,"Blocked")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