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176d94f712e4551" /></Relationships>
</file>

<file path=xl/workbook.xml><?xml version="1.0" encoding="utf-8"?>
<x:workbook xmlns:x="http://schemas.openxmlformats.org/spreadsheetml/2006/main">
  <x:sheets>
    <x:sheet xmlns:r="http://schemas.openxmlformats.org/officeDocument/2006/relationships" name="Tracker" sheetId="1" r:id="Re3c493831c194ec0"/>
    <x:sheet xmlns:r="http://schemas.openxmlformats.org/officeDocument/2006/relationships" name="Dashboard" sheetId="2" r:id="R639d85c8087242a2"/>
    <x:sheet xmlns:r="http://schemas.openxmlformats.org/officeDocument/2006/relationships" name="Lists" sheetId="3" r:id="Rd426ff54b2f94a7e"/>
    <x:sheet xmlns:r="http://schemas.openxmlformats.org/officeDocument/2006/relationships" name="Instructions" sheetId="4" r:id="R228d8c5999db4dc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04c84c3cc7349b6" /><Relationship Type="http://schemas.openxmlformats.org/officeDocument/2006/relationships/theme" Target="/xl/theme/theme1.xml" Id="Rc79a0310ecdb47ff" /><Relationship Type="http://schemas.openxmlformats.org/officeDocument/2006/relationships/sharedStrings" Target="/xl/sharedStrings.xml" Id="Rdda58aa166a8485e" /><Relationship Type="http://schemas.openxmlformats.org/officeDocument/2006/relationships/worksheet" Target="/xl/worksheets/sheet1.xml" Id="Re3c493831c194ec0" /><Relationship Type="http://schemas.openxmlformats.org/officeDocument/2006/relationships/worksheet" Target="/xl/worksheets/sheet2.xml" Id="R639d85c8087242a2" /><Relationship Type="http://schemas.openxmlformats.org/officeDocument/2006/relationships/worksheet" Target="/xl/worksheets/sheet3.xml" Id="Rd426ff54b2f94a7e" /><Relationship Type="http://schemas.openxmlformats.org/officeDocument/2006/relationships/worksheet" Target="/xl/worksheets/sheet4.xml" Id="R228d8c5999db4dc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and the complete private history has been sanitized: the cloud billing identifier and synthetic E2E participant alias are redacted from every reachable blob, common credential-signature scans pass, and current commit references point to rewritten identities. The rewritten main branch was force-pushed with an exact lease guard and synchronized at 0/0. GitHub still reports the repository as PRIVATE, so anonymous access returns 404.</x:v>
      </x:c>
      <x:c r="J60" s="14" t="str">
        <x:v>Failed Test</x:v>
      </x:c>
      <x:c r="K60" s="14" t="str">
        <x:v>GitHub metadata inspection</x:v>
      </x:c>
      <x:c r="L60" s="14" t="str">
        <x:v>Query repository visibility and license metadata; verify anonymous public access requirement and top-level license.</x:v>
      </x:c>
      <x:c r="M60" s="14" t="str">
        <x:v>PARTIAL PASS — history sanitization, complete local regression, guarded remote push, remote parity, and MIT detection pass; repository visibility remains private. Evidence: qa_evidence/submission_readiness/history-sanitization-2026-08-30.txt, history-sanitization-regression-2026-08-30.txt, and history-push-2026-08-30.txt.</x:v>
      </x:c>
      <x:c r="N60" s="14" t="str">
        <x:v>Repository is still private; anonymous source and license access remain unavailable until visibility is changed.</x:v>
      </x:c>
      <x:c r="O60" s="14" t="str">
        <x:v>Critical</x:v>
      </x:c>
      <x:c r="P60" s="14" t="str">
        <x:v>Yes —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c6e6b0f</x:v>
      </x:c>
      <x:c r="T60" s="14" t="str">
        <x:v>After operator confirmation, make the repository public and verify anonymous access plus GitHub license detection.</x:v>
      </x:c>
      <x:c r="U60" s="14" t="str">
        <x:v>History sanitization PASS; guarded force-push PASS; immediate remote parity PASS (0/0); public visibility retest pending.</x:v>
      </x:c>
      <x:c r="V60" s="14" t="str">
        <x:v>Failed Test</x:v>
      </x:c>
      <x:c r="W60" s="14" t="str">
        <x:v>Yes — confirm publication after the final secret/IP review.</x:v>
      </x:c>
      <x:c r="X60" s="14" t="str">
        <x:v>A complete pre-rewrite bundle exists outside the repository. The original operational identifiers are absent from every reachable rewritten blob. Making the repository public remains a separate disclosure action.</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evidence-bounded 2:35 storyboard and second-by-second StrategiX recording contract exist. Its six-point verified core covers typed tools, human confirmation, browser-only scoring, the 144-card public matrix, human-controlled commerce, and the observed Chrome deployment. The Video URL remains PENDING.</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timed plan, verified-core scope, narration, evidence map, excluded-claim list, safeguards, and publication checklist validate; public narrated/captioned video remains absent. Evidence: qa_evidence/submission_readiness/demo-shot-list-validation-2026-08-30.txt.</x:v>
      </x:c>
      <x:c r="N63" s="14" t="str">
        <x:v>No public YouTube demo URL under three minutes is available; the attached proposed architecture also contained undeployed claims that cannot appear in the recording.</x:v>
      </x:c>
      <x:c r="O63" s="14" t="str">
        <x:v>Critical</x:v>
      </x:c>
      <x:c r="P63" s="14" t="str">
        <x:v>Yes — create the local script now; recording/upload remains an operator action.</x:v>
      </x:c>
      <x:c r="Q63" s="14" t="str">
        <x:v>Added the canonical shot list and six-capability verified-core block. Scoped no-cloud language to reflection scoring, preserved WebMCP commerce boundaries, and added deterministic submission checks.</x:v>
      </x:c>
      <x:c r="R63" s="14" t="str">
        <x:v>WEBMCP_DEMO_SHOT_LIST.html; README.md; SUBMISSION.md; scripts/validate-submission.mjs; CHANGELOG.md; CONTINUITY.md; qa_evidence/submission_readiness/demo-shot-list-validation-2026-08-30.txt</x:v>
      </x:c>
      <x:c r="S63" s="14" t="str">
        <x:v>4313f6d; 45f85b7; b8f25e6</x:v>
      </x:c>
      <x:c r="T63" s="14" t="str">
        <x:v>Parse HTML; extract and validate the single XML contract; verify eight tool names, 155-second target, confirmation and publication boundaries; render in browser; run submission, competition-hardening, judge-panel, Node, site, and Go gates; after publication verify public YouTube URL, duration, audio, captions, and deployed behavior.</x:v>
      </x:c>
      <x:c r="U63" s="14" t="str">
        <x:v>PASS for the recording artifact and verified core: HTML/XML, eight-tool inventory, human confirmation, stable browser scoring, Cards 001–144, commerce boundary, Chrome evidence, 155-second timing, and browser rendering validated. PENDING for recording/upload/captions/public playback.</x:v>
      </x:c>
      <x:c r="V63" s="14" t="str">
        <x:v>Needs Product Decision</x:v>
      </x:c>
      <x:c r="W63" s="14" t="str">
        <x:v>Yes — operator must record/approve and publish the final video.</x:v>
      </x:c>
      <x:c r="X63" s="14" t="str">
        <x:v>Canonical recording plan: WEBMCP_DEMO_SHOT_LIST.html. “No cloud computation” applies only to deterministic scoring; email and commerce services remain separate. Undeployed claims remain excluded.</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sheetData>
  <x:dataValidations count="4">
    <x:dataValidation type="list" sqref="J2:J90">
      <x:formula1>"Not Reviewed,Story Drafted,Ready For Test,Failed Test,Fix In Progress,Fixed,Retest Failed,Verified,Blocked,Needs Product Decision"</x:formula1>
    </x:dataValidation>
    <x:dataValidation type="list" sqref="O2:O90">
      <x:formula1>"Critical,High,Medium,Low,None"</x:formula1>
    </x:dataValidation>
    <x:dataValidation type="list" sqref="K2:K90">
      <x:formula1>"Code Review,Manual UI,Automated Test,Smoke Test,Regression Test,Accessibility Review,Responsive Review,Integration Test"</x:formula1>
    </x:dataValidation>
    <x:dataValidation type="list" sqref="V2:V90">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COUNTA('Tracker'!$A$2:$A$90)</x:f>
        <x:v>89</x:v>
      </x:c>
      <x:c r="D4" s="21" t="str">
        <x:v>Critical</x:v>
      </x:c>
      <x:c r="E4" s="21" t="n">
        <x:f>COUNTIFS('Tracker'!$O$2:$O$90,"Critical",'Tracker'!$V$2:$V$90,"&lt;&gt;Verified")</x:f>
        <x:v>4</x:v>
      </x:c>
    </x:row>
    <x:row r="5" ht="22" customHeight="1">
      <x:c r="A5" s="21" t="str">
        <x:v>Current Verified</x:v>
      </x:c>
      <x:c r="B5" s="21" t="n">
        <x:f>COUNTIF('Tracker'!$J$2:$J$90,"Verified")</x:f>
        <x:v>59</x:v>
      </x:c>
      <x:c r="D5" s="21" t="str">
        <x:v>High</x:v>
      </x:c>
      <x:c r="E5" s="21" t="n">
        <x:f>COUNTIFS('Tracker'!$O$2:$O$90,"High",'Tracker'!$V$2:$V$90,"&lt;&gt;Verified")</x:f>
        <x:v>2</x:v>
      </x:c>
    </x:row>
    <x:row r="6" ht="22" customHeight="1">
      <x:c r="A6" s="21" t="str">
        <x:v>Failed Test</x:v>
      </x:c>
      <x:c r="B6" s="21" t="n">
        <x:f>COUNTIF('Tracker'!$J$2:$J$90,"Failed Test")</x:f>
        <x:v>1</x:v>
      </x:c>
      <x:c r="D6" s="21" t="str">
        <x:v>Medium</x:v>
      </x:c>
      <x:c r="E6" s="21" t="n">
        <x:f>COUNTIFS('Tracker'!$O$2:$O$90,"Medium",'Tracker'!$V$2:$V$90,"&lt;&gt;Verified")</x:f>
        <x:v>0</x:v>
      </x:c>
    </x:row>
    <x:row r="7" ht="22" customHeight="1">
      <x:c r="A7" s="21" t="str">
        <x:v>Fix In Progress</x:v>
      </x:c>
      <x:c r="B7" s="21" t="n">
        <x:f>COUNTIF('Tracker'!$J$2:$J$90,"Fix In Progress")</x:f>
        <x:v>0</x:v>
      </x:c>
      <x:c r="D7" s="21" t="str">
        <x:v>Low</x:v>
      </x:c>
      <x:c r="E7" s="21" t="n">
        <x:f>COUNTIFS('Tracker'!$O$2:$O$90,"Low",'Tracker'!$V$2:$V$90,"&lt;&gt;Verified")</x:f>
        <x:v>0</x:v>
      </x:c>
    </x:row>
    <x:row r="8" ht="22" customHeight="1">
      <x:c r="A8" s="21" t="str">
        <x:v>Fixed</x:v>
      </x:c>
      <x:c r="B8" s="21" t="n">
        <x:f>COUNTIF('Tracker'!$J$2:$J$90,"Fixed")</x:f>
        <x:v>24</x:v>
      </x:c>
      <x:c r="D8" s="21" t="str">
        <x:v>Needs Product Decision</x:v>
      </x:c>
      <x:c r="E8" s="21" t="n">
        <x:f>COUNTIF('Tracker'!$W$2:$W$90,"Yes")</x:f>
        <x:v>1</x:v>
      </x:c>
    </x:row>
    <x:row r="9" ht="22" customHeight="1">
      <x:c r="A9" s="21" t="str">
        <x:v>Final Verified</x:v>
      </x:c>
      <x:c r="B9" s="21" t="n">
        <x:f>COUNTIF('Tracker'!$V$2:$V$90,"Verified")</x:f>
        <x:v>83</x:v>
      </x:c>
      <x:c r="D9" s="21" t="str">
        <x:v>Rows With Commit Hash</x:v>
      </x:c>
      <x:c r="E9" s="21" t="n">
        <x:v>56</x:v>
      </x:c>
    </x:row>
    <x:row r="10" ht="22" customHeight="1">
      <x:c r="A10" s="21" t="str">
        <x:v>Blocked</x:v>
      </x:c>
      <x:c r="B10" s="21" t="n">
        <x:f>COUNTIF('Tracker'!$V$2:$V$90,"Blocked")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