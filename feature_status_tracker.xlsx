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a2915e5c6544c3" /></Relationships>
</file>

<file path=xl/workbook.xml><?xml version="1.0" encoding="utf-8"?>
<x:workbook xmlns:x="http://schemas.openxmlformats.org/spreadsheetml/2006/main">
  <x:sheets>
    <x:sheet xmlns:r="http://schemas.openxmlformats.org/officeDocument/2006/relationships" name="Tracker" sheetId="1" r:id="R450f20212c0140e1"/>
    <x:sheet xmlns:r="http://schemas.openxmlformats.org/officeDocument/2006/relationships" name="Dashboard" sheetId="2" r:id="R01d1f92c1c8942cb"/>
    <x:sheet xmlns:r="http://schemas.openxmlformats.org/officeDocument/2006/relationships" name="Lists" sheetId="3" r:id="R29c4aece30ca494c"/>
    <x:sheet xmlns:r="http://schemas.openxmlformats.org/officeDocument/2006/relationships" name="Instructions" sheetId="4" r:id="R950d4743f6d94d5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162b7dd84a42d5" /><Relationship Type="http://schemas.openxmlformats.org/officeDocument/2006/relationships/theme" Target="/xl/theme/theme1.xml" Id="R0a791b2f2d0e446c" /><Relationship Type="http://schemas.openxmlformats.org/officeDocument/2006/relationships/sharedStrings" Target="/xl/sharedStrings.xml" Id="R283660a9e7524a7d" /><Relationship Type="http://schemas.openxmlformats.org/officeDocument/2006/relationships/worksheet" Target="/xl/worksheets/sheet1.xml" Id="R450f20212c0140e1" /><Relationship Type="http://schemas.openxmlformats.org/officeDocument/2006/relationships/worksheet" Target="/xl/worksheets/sheet2.xml" Id="R01d1f92c1c8942cb" /><Relationship Type="http://schemas.openxmlformats.org/officeDocument/2006/relationships/worksheet" Target="/xl/worksheets/sheet3.xml" Id="R29c4aece30ca494c" /><Relationship Type="http://schemas.openxmlformats.org/officeDocument/2006/relationships/worksheet" Target="/xl/worksheets/sheet4.xml" Id="R950d4743f6d94d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After confirmation the participant reaches a generic completion/home experience. The different computer has no local quiz state, and the screen does not show the compact result or clearly explain the second email and device-local choice boundary.</x:v>
      </x:c>
      <x:c r="J88" s="14" t="str">
        <x:v>Failed Test</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No — discovery, story, and test plan completed before implementation.</x:v>
      </x:c>
      <x:c r="R88" s="14" t="str">
        <x:v>qa_evidence/post_confirmation_cross_device/; feature_status_tracker.csv; feature_status_tracker.xlsx; feature_status_tracker.html; feature_qa_report.md</x:v>
      </x:c>
      <x:c r="S88" s="14" t="str"/>
      <x:c r="T88" s="14" t="str">
        <x:v>Run service/handler/email tests, all Go tests/vet and web suites; render successful confirmation at desktop/mobile; verify production non-mutating routes and deploy only after local confirmation semantics pass.</x:v>
      </x:c>
      <x:c r="U88" s="14" t="str">
        <x:v>Pending</x:v>
      </x:c>
      <x:c r="V88" s="14" t="str">
        <x:v>Failed Test</x:v>
      </x:c>
      <x:c r="W88" s="14" t="str">
        <x:v>No</x:v>
      </x:c>
      <x:c r="X88" s="14" t="str">
        <x:v>Cross-device synchronization of all 12 choices is intentionally out of scope because privacy copy promises device-local choice storage. The compact result is already stored server-side and is the safe handoff surface.</x:v>
      </x:c>
      <x:c r="Y88" s="14" t="str">
        <x:v>Clicked and verified, then I do not see what to remember; it is on a different computer.</x:v>
      </x:c>
    </x:row>
  </x:sheetData>
  <x:dataValidations count="4">
    <x:dataValidation type="list" sqref="J2:J88">
      <x:formula1>"Not Reviewed,Story Drafted,Ready For Test,Failed Test,Fix In Progress,Fixed,Retest Failed,Verified,Blocked,Needs Product Decision"</x:formula1>
    </x:dataValidation>
    <x:dataValidation type="list" sqref="O2:O88">
      <x:formula1>"Critical,High,Medium,Low,None"</x:formula1>
    </x:dataValidation>
    <x:dataValidation type="list" sqref="K2:K88">
      <x:formula1>"Code Review,Manual UI,Automated Test,Smoke Test,Regression Test,Accessibility Review,Responsive Review,Integration Test"</x:formula1>
    </x:dataValidation>
    <x:dataValidation type="list" sqref="V2:V88">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COUNTA('Tracker'!$A$2:$A$88)</x:f>
        <x:v>87</x:v>
      </x:c>
      <x:c r="D4" s="21" t="str">
        <x:v>Critical</x:v>
      </x:c>
      <x:c r="E4" s="21" t="n">
        <x:f>COUNTIFS('Tracker'!$O$2:$O$88,"Critical",'Tracker'!$V$2:$V$88,"&lt;&gt;Verified")</x:f>
        <x:v>4</x:v>
      </x:c>
    </x:row>
    <x:row r="5" ht="22" customHeight="1">
      <x:c r="A5" s="21" t="str">
        <x:v>Current Verified</x:v>
      </x:c>
      <x:c r="B5" s="21" t="n">
        <x:f>COUNTIF('Tracker'!$J$2:$J$88,"Verified")</x:f>
        <x:v>57</x:v>
      </x:c>
      <x:c r="D5" s="21" t="str">
        <x:v>High</x:v>
      </x:c>
      <x:c r="E5" s="21" t="n">
        <x:f>COUNTIFS('Tracker'!$O$2:$O$88,"High",'Tracker'!$V$2:$V$88,"&lt;&gt;Verified")</x:f>
        <x:v>2</x:v>
      </x:c>
    </x:row>
    <x:row r="6" ht="22" customHeight="1">
      <x:c r="A6" s="21" t="str">
        <x:v>Failed Test</x:v>
      </x:c>
      <x:c r="B6" s="21" t="n">
        <x:f>COUNTIF('Tracker'!$J$2:$J$88,"Failed Test")</x:f>
        <x:v>2</x:v>
      </x:c>
      <x:c r="D6" s="21" t="str">
        <x:v>Medium</x:v>
      </x:c>
      <x:c r="E6" s="21" t="n">
        <x:f>COUNTIFS('Tracker'!$O$2:$O$88,"Medium",'Tracker'!$V$2:$V$88,"&lt;&gt;Verified")</x:f>
        <x:v>0</x:v>
      </x:c>
    </x:row>
    <x:row r="7" ht="22" customHeight="1">
      <x:c r="A7" s="21" t="str">
        <x:v>Fix In Progress</x:v>
      </x:c>
      <x:c r="B7" s="21" t="n">
        <x:f>COUNTIF('Tracker'!$J$2:$J$88,"Fix In Progress")</x:f>
        <x:v>0</x:v>
      </x:c>
      <x:c r="D7" s="21" t="str">
        <x:v>Low</x:v>
      </x:c>
      <x:c r="E7" s="21" t="n">
        <x:f>COUNTIFS('Tracker'!$O$2:$O$88,"Low",'Tracker'!$V$2:$V$88,"&lt;&gt;Verified")</x:f>
        <x:v>0</x:v>
      </x:c>
    </x:row>
    <x:row r="8" ht="22" customHeight="1">
      <x:c r="A8" s="21" t="str">
        <x:v>Fixed</x:v>
      </x:c>
      <x:c r="B8" s="21" t="n">
        <x:f>COUNTIF('Tracker'!$J$2:$J$88,"Fixed")</x:f>
        <x:v>24</x:v>
      </x:c>
      <x:c r="D8" s="21" t="str">
        <x:v>Needs Product Decision</x:v>
      </x:c>
      <x:c r="E8" s="21" t="n">
        <x:f>COUNTIF('Tracker'!$W$2:$W$88,"Yes")</x:f>
        <x:v>1</x:v>
      </x:c>
    </x:row>
    <x:row r="9" ht="22" customHeight="1">
      <x:c r="A9" s="21" t="str">
        <x:v>Final Verified</x:v>
      </x:c>
      <x:c r="B9" s="21" t="n">
        <x:f>COUNTIF('Tracker'!$V$2:$V$88,"Verified")</x:f>
        <x:v>81</x:v>
      </x:c>
      <x:c r="D9" s="21" t="str">
        <x:v>Rows With Commit Hash</x:v>
      </x:c>
      <x:c r="E9" s="21" t="n">
        <x:v>54</x:v>
      </x:c>
    </x:row>
    <x:row r="10" ht="22" customHeight="1">
      <x:c r="A10" s="21" t="str">
        <x:v>Blocked</x:v>
      </x:c>
      <x:c r="B10" s="21" t="n">
        <x:f>COUNTIF('Tracker'!$V$2:$V$88,"Blocked")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