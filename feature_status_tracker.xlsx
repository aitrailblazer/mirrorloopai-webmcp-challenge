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efff7b4a2284643" /></Relationships>
</file>

<file path=xl/workbook.xml><?xml version="1.0" encoding="utf-8"?>
<x:workbook xmlns:x="http://schemas.openxmlformats.org/spreadsheetml/2006/main">
  <x:sheets>
    <x:sheet xmlns:r="http://schemas.openxmlformats.org/officeDocument/2006/relationships" name="Tracker" sheetId="1" r:id="R4cb2f94691674dcd"/>
    <x:sheet xmlns:r="http://schemas.openxmlformats.org/officeDocument/2006/relationships" name="Dashboard" sheetId="2" r:id="R585eac57c77a4fab"/>
    <x:sheet xmlns:r="http://schemas.openxmlformats.org/officeDocument/2006/relationships" name="Lists" sheetId="3" r:id="R9de8b4e7604b41a0"/>
    <x:sheet xmlns:r="http://schemas.openxmlformats.org/officeDocument/2006/relationships" name="Instructions" sheetId="4" r:id="Rb3e44397b50e41b1"/>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43e34b80ad545c7" /><Relationship Type="http://schemas.openxmlformats.org/officeDocument/2006/relationships/theme" Target="/xl/theme/theme1.xml" Id="Rdcd067d246094123" /><Relationship Type="http://schemas.openxmlformats.org/officeDocument/2006/relationships/sharedStrings" Target="/xl/sharedStrings.xml" Id="Ra2cf3cfa5db74105" /><Relationship Type="http://schemas.openxmlformats.org/officeDocument/2006/relationships/worksheet" Target="/xl/worksheets/sheet1.xml" Id="R4cb2f94691674dcd" /><Relationship Type="http://schemas.openxmlformats.org/officeDocument/2006/relationships/worksheet" Target="/xl/worksheets/sheet2.xml" Id="R585eac57c77a4fab" /><Relationship Type="http://schemas.openxmlformats.org/officeDocument/2006/relationships/worksheet" Target="/xl/worksheets/sheet3.xml" Id="R9de8b4e7604b41a0" /><Relationship Type="http://schemas.openxmlformats.org/officeDocument/2006/relationships/worksheet" Target="/xl/worksheets/sheet4.xml" Id="Rb3e44397b50e41b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9740b57</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9740b57</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9740b57</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9740b57</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9740b57</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9740b57</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592c08a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FAIL — GitHub reports visibility PRIVATE. GitHub detects the top-level MIT license, but the mandatory anonymous public-source requirement is not met.</x:v>
      </x:c>
      <x:c r="J60" s="14" t="str">
        <x:v>Failed Test</x:v>
      </x:c>
      <x:c r="K60" s="14" t="str">
        <x:v>GitHub metadata inspection</x:v>
      </x:c>
      <x:c r="L60" s="14" t="str">
        <x:v>Query repository visibility and license metadata; verify anonymous public access requirement and top-level license.</x:v>
      </x:c>
      <x:c r="M60" s="14" t="str">
        <x:v>FAIL — visibility is PRIVATE; MIT license is detected. Evidence: qa_evidence/feature-audit-2026-08-30/commands/devpost-submission-baseline.txt.</x:v>
      </x:c>
      <x:c r="N60" s="14" t="str">
        <x:v>Repository is private, while the official rules require a public repository.</x:v>
      </x:c>
      <x:c r="O60" s="14" t="str">
        <x:v>Critical</x:v>
      </x:c>
      <x:c r="P60" s="14" t="str">
        <x:v>Yes — external repository setting change requires operator confirmation.</x:v>
      </x:c>
      <x:c r="Q60" s="14" t="str">
        <x:v>Expanded public-facing source, license, setup, and submission documentation; repository visibility was intentionally not changed without operator confirmation.</x:v>
      </x:c>
      <x:c r="R60" s="14" t="str">
        <x:v>README.md; SUBMISSION.md; THIRD_PARTY_NOTICES.md</x:v>
      </x:c>
      <x:c r="S60" s="14" t="str">
        <x:v>2f08435</x:v>
      </x:c>
      <x:c r="T60" s="14" t="str">
        <x:v>After operator confirmation, make the repository public and verify anonymous access plus GitHub license detection.</x:v>
      </x:c>
      <x:c r="U60" s="14" t="str">
        <x:v>NOT RUN — repository remains private; external publication gate is still open.</x:v>
      </x:c>
      <x:c r="V60" s="14" t="str">
        <x:v>Failed Test</x:v>
      </x:c>
      <x:c r="W60" s="14" t="str">
        <x:v>Yes — confirm publication after the final secret/IP review.</x:v>
      </x:c>
      <x:c r="X60" s="14" t="str">
        <x:v>Official source: https://webmcp.devpost.com/ and https://webmcp.devpost.com/rules. Live source snapshot and SHA-256: qa_evidence/feature-audit-2026-08-30/commands/devpost-live-source-verification.txt.</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2f08435</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2f08435</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FAIL — no public YouTube URL or timed sub-three-minute recording plan exists in the repository.</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FAIL — no video or demo-plan artifact was found. Evidence: qa_evidence/feature-audit-2026-08-30/commands/devpost-submission-baseline.txt.</x:v>
      </x:c>
      <x:c r="N63" s="14" t="str">
        <x:v>The required public demo video is absent.</x:v>
      </x:c>
      <x:c r="O63" s="14" t="str">
        <x:v>Critical</x:v>
      </x:c>
      <x:c r="P63" s="14" t="str">
        <x:v>Yes — create the local script now; recording/upload remains an operator action.</x:v>
      </x:c>
      <x:c r="Q63" s="14" t="str">
        <x:v>Added a timed 2:35 demo shot list, narration, rights safeguards, captions check, and required flow. The public YouTube artifact remains external.</x:v>
      </x:c>
      <x:c r="R63" s="14" t="str">
        <x:v>SUBMISSION.md; scripts/validate-submission.mjs</x:v>
      </x:c>
      <x:c r="S63" s="14" t="str">
        <x:v>2f08435</x:v>
      </x:c>
      <x:c r="T63" s="14" t="str">
        <x:v>Validate the timed plan; after operator publication, verify the public YouTube URL, duration, audio, captions, and deployed behavior.</x:v>
      </x:c>
      <x:c r="U63" s="14" t="str">
        <x:v>PARTIAL PASS — local 2:35 plan is validated; public YouTube URL remains pending. Evidence: qa_evidence/feature-audit-2026-08-30/commands/devpost-submission-package-final.txt.</x:v>
      </x:c>
      <x:c r="V63" s="14" t="str">
        <x:v>Needs Product Decision</x:v>
      </x:c>
      <x:c r="W63" s="14" t="str">
        <x:v>Yes — operator must record/approve and publish the final video.</x:v>
      </x:c>
      <x:c r="X63" s="14" t="str">
        <x:v>Official source: https://webmcp.devpost.com/ and https://webmcp.devpost.com/rules. Live source snapshot and SHA-256: qa_evidence/feature-audit-2026-08-30/commands/devpost-live-source-verification.txt.</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2f08435</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FAIL — authenticated Devpost dashboard shows no project; local field-by-field submission package is also absent.</x:v>
      </x:c>
      <x:c r="J65" s="14" t="str">
        <x:v>Needs Product Decision</x:v>
      </x:c>
      <x:c r="K65" s="14" t="str">
        <x:v>Authenticated browser + checklist audit</x:v>
      </x:c>
      <x:c r="L65" s="14" t="str">
        <x:v>Inspect the entrant dashboard for an existing project; compare local package with all required Devpost fields.</x:v>
      </x:c>
      <x:c r="M65" s="14" t="str">
        <x:v>FAIL — dashboard says “Start a Project to begin your submission.” Evidence: qa_evidence/feature-audit-2026-08-30/browser/devpost-dashboard-and-browser-state.json.</x:v>
      </x:c>
      <x:c r="N65" s="14" t="str">
        <x:v>No Devpost project has been created.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2f08435</x:v>
      </x:c>
      <x:c r="T65" s="14" t="str">
        <x:v>Run local package validation; after confirmation, create the Devpost project and compare every field with SUBMISSION.md.</x:v>
      </x:c>
      <x:c r="U65" s="14" t="str">
        <x:v>PARTIAL PASS — complete local field package exists; authenticated dashboard still has no project. Evidence: qa_evidence/feature-audit-2026-08-30/commands/devpost-submission-package-final.txt; qa_evidence/feature-audit-2026-08-30/browser/devpost-dashboard-and-browser-state.json.</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PARTIAL — MIT license and private-corpus exclusions are present, but entrant eligibility, ownership authorization, and a consolidated third-party notice remain unresolved.</x:v>
      </x:c>
      <x:c r="J66" s="14" t="str">
        <x:v>Needs Product Decision</x:v>
      </x:c>
      <x:c r="K66" s="14" t="str">
        <x:v>Compliance checklist</x:v>
      </x:c>
      <x:c r="L66" s="14" t="str">
        <x:v>Review rules, licenses, asset/source statements, dependency/service notices, and identify attestations that only the operator can confirm.</x:v>
      </x:c>
      <x:c r="M66" s="14" t="str">
        <x:v>PARTIAL — repository safeguards exist; operator attestations are unresolved. Evidence: qa_evidence/feature-audit-2026-08-30/commands/devpost-requirements-audit.txt; README.md; LICENSE.</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2f08435</x:v>
      </x:c>
      <x:c r="T66" s="14" t="str">
        <x:v>Run local validation; operator completes every attestation and final public-repository scan.</x:v>
      </x:c>
      <x:c r="U66" s="14" t="str">
        <x:v>PARTIAL PASS — notices and checklist are complete; entrant eligibility and rights assertions require operator confirmation.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2f08435</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2f08435</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2f08435</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2d84634</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2d84634</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2d84634</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2d84634</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2d84634</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9d39b92</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e74cc86</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fa341e7</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ddabacf</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7a91f15</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c6e7d4d</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fe40fe4</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825e1a6</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cfc9a70</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sheetData>
  <x:dataValidations count="4">
    <x:dataValidation type="list" sqref="J2:J85">
      <x:formula1>"Not Reviewed,Story Drafted,Ready For Test,Failed Test,Fix In Progress,Fixed,Retest Failed,Verified,Blocked,Needs Product Decision"</x:formula1>
    </x:dataValidation>
    <x:dataValidation type="list" sqref="O2:O85">
      <x:formula1>"Critical,High,Medium,Low,None"</x:formula1>
    </x:dataValidation>
    <x:dataValidation type="list" sqref="K2:K85">
      <x:formula1>"Code Review,Manual UI,Automated Test,Smoke Test,Regression Test,Accessibility Review,Responsive Review,Integration Test"</x:formula1>
    </x:dataValidation>
    <x:dataValidation type="list" sqref="V2:V85">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COUNTA('Tracker'!$A$2:$A$85)</x:f>
        <x:v>84</x:v>
      </x:c>
      <x:c r="D4" s="21" t="str">
        <x:v>Critical</x:v>
      </x:c>
      <x:c r="E4" s="21" t="n">
        <x:f>COUNTIFS('Tracker'!$O$2:$O$85,"Critical",'Tracker'!$V$2:$V$85,"&lt;&gt;Verified")</x:f>
        <x:v>4</x:v>
      </x:c>
    </x:row>
    <x:row r="5" ht="22" customHeight="1">
      <x:c r="A5" s="21" t="str">
        <x:v>Current Verified</x:v>
      </x:c>
      <x:c r="B5" s="21" t="n">
        <x:f>COUNTIF('Tracker'!$J$2:$J$85,"Verified")</x:f>
        <x:v>56</x:v>
      </x:c>
      <x:c r="D5" s="21" t="str">
        <x:v>High</x:v>
      </x:c>
      <x:c r="E5" s="21" t="n">
        <x:f>COUNTIFS('Tracker'!$O$2:$O$85,"High",'Tracker'!$V$2:$V$85,"&lt;&gt;Verified")</x:f>
        <x:v>1</x:v>
      </x:c>
    </x:row>
    <x:row r="6" ht="22" customHeight="1">
      <x:c r="A6" s="21" t="str">
        <x:v>Failed Test</x:v>
      </x:c>
      <x:c r="B6" s="21" t="n">
        <x:f>COUNTIF('Tracker'!$J$2:$J$85,"Failed Test")</x:f>
        <x:v>1</x:v>
      </x:c>
      <x:c r="D6" s="21" t="str">
        <x:v>Medium</x:v>
      </x:c>
      <x:c r="E6" s="21" t="n">
        <x:f>COUNTIFS('Tracker'!$O$2:$O$85,"Medium",'Tracker'!$V$2:$V$85,"&lt;&gt;Verified")</x:f>
        <x:v>0</x:v>
      </x:c>
    </x:row>
    <x:row r="7" ht="22" customHeight="1">
      <x:c r="A7" s="21" t="str">
        <x:v>Fix In Progress</x:v>
      </x:c>
      <x:c r="B7" s="21" t="n">
        <x:f>COUNTIF('Tracker'!$J$2:$J$85,"Fix In Progress")</x:f>
        <x:v>0</x:v>
      </x:c>
      <x:c r="D7" s="21" t="str">
        <x:v>Low</x:v>
      </x:c>
      <x:c r="E7" s="21" t="n">
        <x:f>COUNTIFS('Tracker'!$O$2:$O$85,"Low",'Tracker'!$V$2:$V$85,"&lt;&gt;Verified")</x:f>
        <x:v>0</x:v>
      </x:c>
    </x:row>
    <x:row r="8" ht="22" customHeight="1">
      <x:c r="A8" s="21" t="str">
        <x:v>Fixed</x:v>
      </x:c>
      <x:c r="B8" s="21" t="n">
        <x:f>COUNTIF('Tracker'!$J$2:$J$85,"Fixed")</x:f>
        <x:v>23</x:v>
      </x:c>
      <x:c r="D8" s="21" t="str">
        <x:v>Needs Product Decision</x:v>
      </x:c>
      <x:c r="E8" s="21" t="n">
        <x:f>COUNTIF('Tracker'!$W$2:$W$85,"Yes")</x:f>
        <x:v>1</x:v>
      </x:c>
    </x:row>
    <x:row r="9" ht="22" customHeight="1">
      <x:c r="A9" s="21" t="str">
        <x:v>Final Verified</x:v>
      </x:c>
      <x:c r="B9" s="21" t="n">
        <x:f>COUNTIF('Tracker'!$V$2:$V$85,"Verified")</x:f>
        <x:v>79</x:v>
      </x:c>
      <x:c r="D9" s="21" t="str">
        <x:v>Rows With Commit Hash</x:v>
      </x:c>
      <x:c r="E9" s="21" t="n">
        <x:v>52</x:v>
      </x:c>
    </x:row>
    <x:row r="10" ht="22" customHeight="1">
      <x:c r="A10" s="21" t="str">
        <x:v>Blocked</x:v>
      </x:c>
      <x:c r="B10" s="21" t="n">
        <x:f>COUNTIF('Tracker'!$V$2:$V$85,"Blocked")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