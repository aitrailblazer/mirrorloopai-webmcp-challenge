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acfdf429134a36" /></Relationships>
</file>

<file path=xl/workbook.xml><?xml version="1.0" encoding="utf-8"?>
<x:workbook xmlns:x="http://schemas.openxmlformats.org/spreadsheetml/2006/main">
  <x:sheets>
    <x:sheet xmlns:r="http://schemas.openxmlformats.org/officeDocument/2006/relationships" name="Tracker" sheetId="1" r:id="R8ff1ccb28f534d99"/>
    <x:sheet xmlns:r="http://schemas.openxmlformats.org/officeDocument/2006/relationships" name="Dashboard" sheetId="2" r:id="R9cdace6c5af640a6"/>
    <x:sheet xmlns:r="http://schemas.openxmlformats.org/officeDocument/2006/relationships" name="Lists" sheetId="3" r:id="R531a3f362c114a5e"/>
    <x:sheet xmlns:r="http://schemas.openxmlformats.org/officeDocument/2006/relationships" name="Instructions" sheetId="4" r:id="R7e7ead57507b438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c1b507f7f01499c" /><Relationship Type="http://schemas.openxmlformats.org/officeDocument/2006/relationships/theme" Target="/xl/theme/theme1.xml" Id="R44f625d57daa4fdf" /><Relationship Type="http://schemas.openxmlformats.org/officeDocument/2006/relationships/sharedStrings" Target="/xl/sharedStrings.xml" Id="Ra109ccc7f68b4942" /><Relationship Type="http://schemas.openxmlformats.org/officeDocument/2006/relationships/worksheet" Target="/xl/worksheets/sheet1.xml" Id="R8ff1ccb28f534d99" /><Relationship Type="http://schemas.openxmlformats.org/officeDocument/2006/relationships/worksheet" Target="/xl/worksheets/sheet2.xml" Id="R9cdace6c5af640a6" /><Relationship Type="http://schemas.openxmlformats.org/officeDocument/2006/relationships/worksheet" Target="/xl/worksheets/sheet3.xml" Id="R531a3f362c114a5e" /><Relationship Type="http://schemas.openxmlformats.org/officeDocument/2006/relationships/worksheet" Target="/xl/worksheets/sheet4.xml" Id="R7e7ead57507b438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the current injected/native-compatible context registers eleven tools and direct mode remains usable; unsupported-mode fallback is implemented.</x:v>
      </x:c>
      <x:c r="J43" s="14" t="str">
        <x:v>Verified</x:v>
      </x:c>
      <x:c r="K43" s="14" t="str">
        <x:v>Automated + browser</x:v>
      </x:c>
      <x:c r="L43" s="14" t="str">
        <x:v>Run with injected modelContext and without it; verify status text, body state, all eleven tools, and direct quiz usability.</x:v>
      </x:c>
      <x:c r="M43" s="14" t="str">
        <x:v>PASS — the current one-command WebMCP gate registers eleven tools, and the unsupported-mode direct quiz remains usable. Evidence: artifacts/webmcp-eval/latest.json; qa_evidence/feature-audit-2026-08-29/browser/local-browser-audit.json.</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11/11 tools register in the current gate; direct mode remains usable when modelContext is unavailable.</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eleven tools with correct schemas and can execute a safe start/read/explain flow.</x:v>
      </x:c>
      <x:c r="I53" s="14" t="str">
        <x:v>PASS — the public origin serves the production WebMCP Origin Trial token and current eleven-tool bundle; Chrome DevTools discovery and the visible readiness state have been verified.</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the current production page advertises “WebMCP ready · 11 tools”; public llms.txt lists all eleven tools, and the one-command registration gate passes.</x:v>
      </x:c>
      <x:c r="V53" s="14" t="str">
        <x:v>Verified</x:v>
      </x:c>
      <x:c r="W53" s="14" t="str">
        <x:v>No</x:v>
      </x:c>
      <x:c r="X53" s="14" t="str">
        <x:v>Native Inspector—not an injected test double—is the release authority. The cited 2026-08-29 screenshot records the earlier eight-tool release; the current production inventory is eleven tools and is covered by the current gate and public discovery metadata.</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documents the reflection, all eleven tools, the commerce boundary, and the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The existing answer_reflection_question tool was safely extended rather than adding a payment-adjacent or redundant mutation tool. The original eight-tool implementation and failure evidence remain dated history; the current suite contains eleven tools.</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11 tools” after native registration, uses a clear ready indicator, exposes status semantics to assistive technology, and provides an understandable direct-use fallback when WebMCP is unavailable.</x:v>
      </x:c>
      <x:c r="I58" s="14" t="str">
        <x:v>PASS — the persistent header badge reports “WebMCP ready · 11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eleven tools.</x:v>
      </x:c>
      <x:c r="U58" s="14" t="str">
        <x:v>PASS — the current one-command browser gate observed exactly eleven registered tool names; ready/fallback labels and responsive behavior remain covered.</x:v>
      </x:c>
      <x:c r="V58" s="14" t="str">
        <x:v>Verified</x:v>
      </x:c>
      <x:c r="W58" s="14" t="str">
        <x:v>No</x:v>
      </x:c>
      <x:c r="X58" s="14" t="str">
        <x:v>Initial failed test retained: the previous badge was nested in the quiz introduction and said “AI-guided reflection ready · 8 tools available.” The current production badge reports eleven tools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eleven declared tools.</x:v>
      </x:c>
      <x:c r="I59" s="14" t="str">
        <x:v>PASS — the live site returns HTTP 200, serves the production Origin Trial token, advertises “WebMCP ready · 11 tools,” and publishes the same eleven-tool inventory in llms.txt.</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the public endpoint, production token, public eleven-tool discovery metadata, and one-command browser registration gate are verified. Evidence: artifacts/webmcp-eval/latest.json; https://mirrorloopai.com/llms.txt; qa_evidence/feature-audit-2026-08-30/browser/production-webmcp-identification.json.</x:v>
      </x:c>
      <x:c r="N59" s="14" t="str"/>
      <x:c r="O59" s="14" t="str">
        <x:v>None</x:v>
      </x:c>
      <x:c r="P59" s="14" t="str">
        <x:v>No</x:v>
      </x:c>
      <x:c r="Q59" s="14" t="str"/>
      <x:c r="R59" s="14" t="str"/>
      <x:c r="S59" s="14" t="str"/>
      <x:c r="T59" s="14" t="str">
        <x:v>Fetch the public origin and llms.txt, then run npm run test:webmcp and verify all eleven tools and the protected mutation boundaries.</x:v>
      </x:c>
      <x:c r="U59" s="14" t="str">
        <x:v>PASS — 7 checks, 18 corpus cases, and 11 registered tools; public origin and llms.txt return HTTP 200.</x:v>
      </x:c>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complete source repository is public at GitHub, anonymous access returns HTTP 200, and GitHub detects the top-level MIT license. The published history passed a full reachable-history Gitleaks scan with zero findings before visibility changed.</x:v>
      </x:c>
      <x:c r="J60" s="14" t="str">
        <x:v>Fixed</x:v>
      </x:c>
      <x:c r="K60" s="14" t="str">
        <x:v>GitHub metadata inspection</x:v>
      </x:c>
      <x:c r="L60" s="14" t="str">
        <x:v>Query repository visibility and license metadata; verify anonymous public access requirement and top-level license.</x:v>
      </x:c>
      <x:c r="M60" s="14" t="str">
        <x:v>PASS — GitHub reports PUBLIC visibility, default branch main, and MIT license detection; unauthenticated repository HTML returns HTTP 200 and the public API reports private=false. Evidence: qa_evidence/submission_readiness/public-repository-2026-08-30.txt.</x:v>
      </x:c>
      <x:c r="N60" s="14" t="str"/>
      <x:c r="O60" s="14" t="str">
        <x:v>None</x:v>
      </x:c>
      <x:c r="P60" s="14" t="str">
        <x:v>No</x:v>
      </x:c>
      <x:c r="Q60" s="14" t="str">
        <x:v>Published the sanitized repository after full-history secret scanning and synchronized submission wording with the eleven-tool production contract.</x:v>
      </x:c>
      <x:c r="R60" s="14" t="str">
        <x:v>competition_manifest.json; README.md; SUBMISSION.md; web/llms.txt; CHANGELOG.md; qa_evidence/submission_readiness/public-repository-2026-08-30.txt</x:v>
      </x:c>
      <x:c r="S60" s="14" t="str">
        <x:v>e0362b2</x:v>
      </x:c>
      <x:c r="T60" s="14" t="str">
        <x:v>Query GitHub metadata without relying on local Git credentials; request the public repository URL anonymously; verify default branch and detected license.</x:v>
      </x:c>
      <x:c r="U60" s="14" t="str">
        <x:v>PASS — repository visibility PUBLIC; anonymous HTML HTTP 200; GitHub API private=false and license MIT.</x:v>
      </x:c>
      <x:c r="V60" s="14" t="str">
        <x:v>Verified</x:v>
      </x:c>
      <x:c r="W60" s="14" t="str">
        <x:v>No</x:v>
      </x:c>
      <x:c r="X60" s="14" t="str">
        <x:v>Public source: https://github.com/aitrailblazer/mirrorloopai-webmcp-challenge. Publication receipt contains no credentials.</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local publication candidate exists: a 2:13 narrated 1440×900 H.264/AAC video using Apple Ava (Premium), 13 synchronized scene highlights, a plain-language explanation rail, 32 SRT cues, a thumbnail, reproducible scripts, and machine-readable timing receipts. The public YouTube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local video duration is 132.867 seconds; H.264 video and Apple Ava (Premium) AAC narration are present; final audio/video drift is 0 ms; 13 scene timings remain within 3 ms; all 32 caption cues parse with at most two lines and 42 characters per line; full ffmpeg decode and visual contact-sheet review pass. Public YouTube playback remains unverified. Evidence: qa_evidence/submission_demo/local-video-verification-2026-08-30.txt; docs/demo/output/final-video-receipt.json.</x:v>
      </x:c>
      <x:c r="N63" s="14" t="str">
        <x:v>The publication-ready local video has not yet been uploaded to a publicly viewable YouTube URL.</x:v>
      </x:c>
      <x:c r="O63" s="14" t="str">
        <x:v>Critical</x:v>
      </x:c>
      <x:c r="P63" s="14" t="str">
        <x:v>Yes — operator authorization is required for the public YouTube upload.</x:v>
      </x:c>
      <x:c r="Q63" s="14" t="str">
        <x:v>Rebuilt narration with Apple Ava (Premium) at 175 words per minute; added sentence-aware phrasing and scene pauses; synchronized narration, captions, gold focus highlighting, explanation rail, and live tool actions through one 13-scene contract; regenerated and verified the 2:13 candidate.</x:v>
      </x:c>
      <x:c r="R63" s="14" t="str">
        <x:v>docs/demo/scenes.json; docs/demo/narration.txt; scripts/build-demo-narration.mjs; scripts/record-webmcp-demo.mjs; scripts/package-demo-video.mjs; WEBMCP_DEMO_SHOT_LIST.html; WEBMCP_COMPETITION_HARDENING_AUDIT.html; README.md; SUBMISSION.md; CHANGELOG.md; qa_evidence/submission_demo/local-video-verification-2026-08-30.txt</x:v>
      </x:c>
      <x:c r="S63" s="14" t="str">
        <x:v>8ee2753; cb956ad; 79c6a28</x:v>
      </x:c>
      <x:c r="T63" s="14" t="str">
        <x:v>Regenerate narration, recording, and package; inspect scene timing receipts; parse all SRT cues and enforce two lines/42 characters; probe streams and duration; measure loudness; perform a full ffmpeg decode; inspect the synchronized contact sheet; after operator-authorized upload, verify public YouTube access and attached captions.</x:v>
      </x:c>
      <x:c r="U63" s="14" t="str">
        <x:v>LOCAL PASS — 132.867 seconds, 1440×900 H.264/AAC, Apple Ava (Premium) narration at 175 words per minute, 13 synchronized scenes, 32 valid SRT cues, 0 ms final A/V drift, full decode passed, and contact sheet reviewed. PENDING — public upload and anonymous YouTube playback.</x:v>
      </x:c>
      <x:c r="V63" s="14" t="str">
        <x:v>Needs Product Decision</x:v>
      </x:c>
      <x:c r="W63" s="14" t="str">
        <x:v>Yes — operator must authorize and publish the final video.</x:v>
      </x:c>
      <x:c r="X63" s="14" t="str">
        <x:v>Local candidate: docs/demo/output/mirrorloop-webmcp-challenge-demo.mp4. SHA-256: 36aa991fdc33bae46214923d5fac9ca2c87fc50f514ff3c43897464a813b1fbc. A hash-matched MP4, SRT, thumbnail, receipt, and scene contract were copied to iCloud Drive under MIRROR LOOP/WebMCP Challenge Submission. Generated media is intentionally gitignored; public YouTube is the submission artifact.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eleven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46 Node tests and the current one-command browser gate verify truthful eleven-tool readiness, AbortSignal cleanup, and direct-mode fallback. Evidence: artifacts/webmcp-eval/latest.json.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eleven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eleven tools, multi-step flows, malformed/ambiguous intents, and no-tool payment/email boundaries; deterministic validation checks tool and schema references.</x:v>
      </x:c>
      <x:c r="I73" s="14" t="str">
        <x:v>PASS — the current 18-case expected-call corpus covers all eleven tools, ordered flows, ambiguity handling, explicit confirmation, and protected no-tool boundaries; historical live-model evidence remains separately versioned.</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18 unique cases, all eleven tools, ordered sequences, bounded arguments, and human-choice/email/cart/payment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18 cases and eleven tools validate; documentation preserves the distinction between deterministic corpus validation and the dated live-model run. Evidence: artifacts/webmcp-eval/latest.json.</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eleven tools quickly.</x:v>
      </x:c>
      <x:c r="H74" s="14" t="str">
        <x:v>Documentation names Chrome 149+, the testing flag, Application → WebMCP pane, Available/Invoked Tools, manual Run tool, schema errors, and the eleven-tool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eleven-tool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the production contract registers eleven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the current registration gate mounts eleven tools. Evidence: artifacts/webmcp-eval/latest.json; qa_evidence/feature-audit-2026-08-30/commands/webmcp-resources-production-http.txt.</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v1 live-agent evidence preserves the original oracle mismatch. The current 18-case corpus now separates ambiguity explanation from a later explicitly confirmed answer and contains a protected no-call case for unconfirmed delegation.</x:v>
      </x:c>
      <x:c r="J77" s="14" t="str">
        <x:v>Fixed</x:v>
      </x:c>
      <x:c r="K77" s="14" t="str">
        <x:v>Corpus-policy consistency review from live model evidence</x:v>
      </x:c>
      <x:c r="L77" s="14" t="str">
        <x:v>Compare the prompt, expectedCalls, live call trace, answer tool description, and confirmed_by_user runtime guard.</x:v>
      </x:c>
      <x:c r="M77" s="14" t="str">
        <x:v>INITIAL FAIL — the v1 expectation conflicted with the confirmation boundary. CURRENT PASS — the versioned 18-case corpus preserves explicit human confirmation and validates all eleven tools.</x:v>
      </x:c>
      <x:c r="N77" s="14" t="str">
        <x:v>Resolved in the current corpus without rewriting the preserved v1 live-evaluation evidence.</x:v>
      </x:c>
      <x:c r="O77" s="14" t="str">
        <x:v>High</x:v>
      </x:c>
      <x:c r="P77" s="14" t="str">
        <x:v>Yes — version the corrected corpus while retaining the original evidence.</x:v>
      </x:c>
      <x:c r="Q77" s="14" t="str">
        <x:v>Added explicit ambiguity-resolution and confirmed-answer cases, retained a no-tool autonomous-choice boundary, and strengthened deterministic assertions without altering the v1 live-run receipt.</x:v>
      </x:c>
      <x:c r="R77" s="14" t="str">
        <x:v>README.md; web/evals/webmcp-evals.json; scripts/validate-webmcp-evals.mjs; WEBMCP_DEMO_SHOT_LIST.html; scripts/validate-submission.mjs; CHANGELOG.md</x:v>
      </x:c>
      <x:c r="S77" s="14" t="str">
        <x:v>58d7d83</x:v>
      </x:c>
      <x:c r="T77" s="14" t="str">
        <x:v>Run npm run test:webmcp:evals and npm run test:webmcp; inspect the explicit-confirmation and autonomous-choice cases.</x:v>
      </x:c>
      <x:c r="U77" s="14" t="str">
        <x:v>PASS — the current 18-case corpus and 7-check browser gate pass with eleven tools; unconfirmed answer delegation produces no mutation.</x:v>
      </x:c>
      <x:c r="V77" s="14" t="str">
        <x:v>Verified</x:v>
      </x:c>
      <x:c r="W77" s="14" t="str">
        <x:v>No</x:v>
      </x:c>
      <x:c r="X77" s="14" t="str">
        <x:v>The original v1 mismatch remains preserved as historical evaluation evidence. Current safety and corpus policy are aligned.</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current eleven production tools and visible UI, while unsupported ephemeris, physical-deck, price, automatic diagnosis, email mutation, cart, and payment claims are rejected or rewritten.</x:v>
      </x:c>
      <x:c r="I78" s="14" t="str">
        <x:v>Production now exposes eleven bounded tools. Supported reflection, comparison, preview, local export, card, and digital-edition scenarios map to real tools; unsupported astronomy, physical-product, diagnosis, email, cart, and payment claims remain excluded.</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preserved the dated eight-tool Gemini run, and generated a claim-status matrix plus corrected copy without expanding commerce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The 10-case live Gemini run is dated evidence from the earlier eight-tool release. Current deterministic validation and production discovery cover eleven tools; no claim treats the historical model run as a current eleven-tool rerun.</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scenario maps only to the current eleven-tool contract and public data. Founder, operator, launch, sprint, team, and workspace examples avoid diagnosis, transit, private commentary, physical fulfillment, cart mutation, and payment authority.</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live evidence: qa_evidence/webmcp_operational_use_case_eval/latest.json. Visual contract: WEBMCP_OPERATIONAL_USE_CASES.html. The six-case live run is dated evidence from the earlier eight-tool release; the current production inventory contains eleven tools.</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eleven-tool contract, existing lifecycle events, strict schemas, 12-answer completion gate, public card registry, local export, digital catalog, and explicit human transaction boundary. Unsupported astronomy, P2P exchange, physical fulfillment, x402, private-corpus authority, and autonomous settlement remain excluded.</x:v>
      </x:c>
      <x:c r="I80" s="14" t="str">
        <x:v>The strategy is reconciled against inspected code and preserved evidence. The current submission presents eleven real tools, three UI lifecycle events, strict schemas, completion and confirmation gates, local dossier export, the digital catalog, and a human-controlled payment boundary while excluding undeployed capabilities.</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2:13 synchronized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astronomy engine, P2P exchange, physical fulfillment, x402, or autonomous payment was added.</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public engineering roles to implemented evidence: explicit answer/export and commerce authority boundaries; strict eleven-tool schemas and completion gating; measured source evidence without invented kinematics benchmarks; browser-local reflection with disclosed analytics/email/Stripe egress; modular vanilla ESM with real state adapters and CustomEvents; and a static-first digital-commerce funnel with human-controlled Stripe. It rejects private-preference claims, undeployed tools, astronomy, dyadic/P2P tokens, zero-telemetry claims,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routes /api/** to the ready Cloud Run revision. The completed-quiz page preserves the current eleven-tool WebMCP readiness state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active Hosting config contains the /api/** Cloud Run rewrite; current WebMCP validation mounts eleven tools. Evidence: qa_evidence/subscriber_route_recovery/; artifacts/webmcp-eval/latest.json.</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11 TOOLS MOUNTED, or DIRECT MODE; bounded mirrorloop:tool_start and mirrorloop:tool_complete events drive a short local event history containing the tool name, allowlisted non-sensitive input summary, measured elapsed time, success/error outcome, and a HUMAN CONFIRMED badge only when a protected action receives confirmed_by_user true. It never exposes focus text, email, arbitrary fields, or tool results; it is responsive and honors reduced motion.</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Register all eleven tools; assert CHECKING to REGISTERING to 11 TOOLS MOUNTED; invoke read-only, confirmed, rejected, and private-focus tools; verify event order, bounded telemetry, confirmation badges, privacy filtering, collapse, keyboard access, responsive layout, reduced motion, and direct fallback.</x:v>
      </x:c>
      <x:c r="M91" s="14" t="str">
        <x:v>INITIAL FAIL baseline preserved. CURRENT PASS — the real eleven-tool registration wrapper and page event consumer pass the current unit and browser gates.</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46/46 web tests, site/submission validation, and the 7-check eleven-tool browser gate pass. Historical eight-tool production evidence remains preserved under qa_evidence/webmcp_glass_cockpit/.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row r="96">
      <x:c r="A96" s="14" t="str">
        <x:v>WM-019</x:v>
      </x:c>
      <x:c r="B96" s="14" t="str">
        <x:v>Why agents co-pilot this node</x:v>
      </x:c>
      <x:c r="C96" s="14" t="str">
        <x:v>WebMCP positioning and judge demo</x:v>
      </x:c>
      <x:c r="D96" s="14" t="str">
        <x:v>README.md; web/evals/webmcp-evals.json; scripts/validate-webmcp-evals.mjs; WEBMCP_DEMO_SHOT_LIST.html; scripts/validate-submission.mjs</x:v>
      </x:c>
      <x:c r="E96" s="14" t="str">
        <x:v>Public README; deterministic WebMCP corpus; 2:13 synchronized demo shot list</x:v>
      </x:c>
      <x:c r="F96" s="14" t="str">
        <x:v>Competition judge agent developer or prospective participant</x:v>
      </x:c>
      <x:c r="G96" s="14" t="str">
        <x:v>As a competition judge or agent developer, I want a concise evidence-backed explanation of why an agent should use MIRROR//LOOP instead of reproducing the flow in chat, so that I can understand its distinctive WebMCP value and human-authority boundaries.</x:v>
      </x:c>
      <x:c r="H96" s="14"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The opening of the 2:13 demo visually contrasts chat-only coordination burden with the site-owned typed contract without claiming a measured standalone-model failure, zero hallucination, zero tracking, or universal zero egress.</x:v>
      </x:c>
      <x:c r="I96" s="14" t="str">
        <x:v>README now contains the exact six-part evidence-backed rationale. The 18-case corpus explicitly uses explain_choice to resolve an ambiguous choice before a separately confirmed answer, while the autonomous-choice boundary produces no tool call. The demo Act I now contrasts chat-only coordination burden with a site-owned WebMCP contract and consistently reports eleven tools.</x:v>
      </x:c>
      <x:c r="J96" s="14" t="str">
        <x:v>Fixed</x:v>
      </x:c>
      <x:c r="K96" s="14" t="str">
        <x:v>Documentation contract + deterministic corpus validation + StrategiX demo artifact validation</x:v>
      </x:c>
      <x:c r="L96" s="14"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6" s="14"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6" s="14" t="str">
        <x:v>The first submission-contract assertion searched for lowercase “optional email delivery” while the README heading phrase began with a capital letter. The demo artifact also contained stale eight-tool and nine-tool labels discovered during baseline inspection.</x:v>
      </x:c>
      <x:c r="O96" s="14" t="str">
        <x:v>Low</x:v>
      </x:c>
      <x:c r="P96" s="14" t="str">
        <x:v>No — completed.</x:v>
      </x:c>
      <x:c r="Q96" s="14" t="str">
        <x:v>Yes — added the six-part README rationale, strengthened exact corpus assertions, revised the Act I contrast, qualified privacy and model-performance claims, and corrected stale demo tool counts.</x:v>
      </x:c>
      <x:c r="R96" s="14"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6" s="14" t="str">
        <x:v>58d7d83</x:v>
      </x:c>
      <x:c r="T96" s="14" t="str">
        <x:v>Repeat all listed validation commands and inspect the generated demo and tracker HTML in a browser.</x:v>
      </x:c>
      <x:c r="U96" s="14" t="str">
        <x:v>PASS — npm run test:webmcp:evals reported 18 cases, 11 tools, and 2 sequences; npm run test:webmcp passed 7 checks; npm test passed 46/46; npm run validate and npm run validate:submission passed; the embedded XML parsed; the Lit artifact rendered 7 grouped beats with 2:13, 11, and 0 ms metrics and no horizontal overflow.</x:v>
      </x:c>
      <x:c r="V96" s="14" t="str">
        <x:v>Verified</x:v>
      </x:c>
      <x:c r="W96" s="14" t="str">
        <x:v>No</x:v>
      </x:c>
      <x:c r="X96" s="14"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6" s="14" t="str">
        <x:v>Document why autonomous agents co-pilot the node; explicitly test explain_choice ambiguity resolution and confirmed_by_user safety; contrast chat-only coordination burden with WebMCP in demo Act I.</x:v>
      </x:c>
    </x:row>
  </x:sheetData>
  <x:dataValidations count="4">
    <x:dataValidation type="list" sqref="J2:J96">
      <x:formula1>"Not Reviewed,Story Drafted,Ready For Test,Failed Test,Fix In Progress,Fixed,Retest Failed,Verified,Blocked,Needs Product Decision"</x:formula1>
    </x:dataValidation>
    <x:dataValidation type="list" sqref="O2:O96">
      <x:formula1>"Critical,High,Medium,Low,None"</x:formula1>
    </x:dataValidation>
    <x:dataValidation type="list" sqref="K2:K96">
      <x:formula1>"Code Review,Manual UI,Automated Test,Smoke Test,Regression Test,Accessibility Review,Responsive Review,Integration Test"</x:formula1>
    </x:dataValidation>
    <x:dataValidation type="list" sqref="V2:V9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COUNTA('Tracker'!$A$2:$A$96)</x:f>
        <x:v>95</x:v>
      </x:c>
      <x:c r="D4" s="21" t="str">
        <x:v>Critical</x:v>
      </x:c>
      <x:c r="E4" s="21" t="n">
        <x:f>COUNTIFS('Tracker'!$O$2:$O$96,"Critical",'Tracker'!$V$2:$V$96,"&lt;&gt;Verified")</x:f>
        <x:v>3</x:v>
      </x:c>
    </x:row>
    <x:row r="5" ht="22" customHeight="1">
      <x:c r="A5" s="21" t="str">
        <x:v>Current Verified</x:v>
      </x:c>
      <x:c r="B5" s="21" t="n">
        <x:f>COUNTIF('Tracker'!$J$2:$J$96,"Verified")</x:f>
        <x:v>63</x:v>
      </x:c>
      <x:c r="D5" s="21" t="str">
        <x:v>High</x:v>
      </x:c>
      <x:c r="E5" s="21" t="n">
        <x:f>COUNTIFS('Tracker'!$O$2:$O$96,"High",'Tracker'!$V$2:$V$96,"&lt;&gt;Verified")</x:f>
        <x:v>1</x:v>
      </x:c>
    </x:row>
    <x:row r="6" ht="22" customHeight="1">
      <x:c r="A6" s="21" t="str">
        <x:v>Failed Test</x:v>
      </x:c>
      <x:c r="B6" s="21" t="n">
        <x:f>COUNTIF('Tracker'!$J$2:$J$96,"Failed Test")</x:f>
        <x:v>0</x:v>
      </x:c>
      <x:c r="D6" s="21" t="str">
        <x:v>Medium</x:v>
      </x:c>
      <x:c r="E6" s="21" t="n">
        <x:f>COUNTIFS('Tracker'!$O$2:$O$96,"Medium",'Tracker'!$V$2:$V$96,"&lt;&gt;Verified")</x:f>
        <x:v>0</x:v>
      </x:c>
    </x:row>
    <x:row r="7" ht="22" customHeight="1">
      <x:c r="A7" s="21" t="str">
        <x:v>Fix In Progress</x:v>
      </x:c>
      <x:c r="B7" s="21" t="n">
        <x:f>COUNTIF('Tracker'!$J$2:$J$96,"Fix In Progress")</x:f>
        <x:v>0</x:v>
      </x:c>
      <x:c r="D7" s="21" t="str">
        <x:v>Low</x:v>
      </x:c>
      <x:c r="E7" s="21" t="n">
        <x:f>COUNTIFS('Tracker'!$O$2:$O$96,"Low",'Tracker'!$V$2:$V$96,"&lt;&gt;Verified")</x:f>
        <x:v>0</x:v>
      </x:c>
    </x:row>
    <x:row r="8" ht="22" customHeight="1">
      <x:c r="A8" s="21" t="str">
        <x:v>Fixed</x:v>
      </x:c>
      <x:c r="B8" s="21" t="n">
        <x:f>COUNTIF('Tracker'!$J$2:$J$96,"Fixed")</x:f>
        <x:v>28</x:v>
      </x:c>
      <x:c r="D8" s="21" t="str">
        <x:v>Needs Product Decision</x:v>
      </x:c>
      <x:c r="E8" s="21" t="n">
        <x:f>COUNTIF('Tracker'!$W$2:$W$96,"Yes")</x:f>
        <x:v>0</x:v>
      </x:c>
    </x:row>
    <x:row r="9" ht="22" customHeight="1">
      <x:c r="A9" s="21" t="str">
        <x:v>Final Verified</x:v>
      </x:c>
      <x:c r="B9" s="21" t="n">
        <x:f>COUNTIF('Tracker'!$V$2:$V$96,"Verified")</x:f>
        <x:v>91</x:v>
      </x:c>
      <x:c r="D9" s="21" t="str">
        <x:v>Rows With Commit Hash</x:v>
      </x:c>
      <x:c r="E9" s="21" t="n">
        <x:v>63</x:v>
      </x:c>
    </x:row>
    <x:row r="10" ht="22" customHeight="1">
      <x:c r="A10" s="21" t="str">
        <x:v>Blocked</x:v>
      </x:c>
      <x:c r="B10" s="21" t="n">
        <x:f>COUNTIF('Tracker'!$V$2:$V$96,"Blocked")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