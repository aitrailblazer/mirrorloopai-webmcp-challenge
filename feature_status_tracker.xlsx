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bfbb9a73179434e" /></Relationships>
</file>

<file path=xl/workbook.xml><?xml version="1.0" encoding="utf-8"?>
<x:workbook xmlns:x="http://schemas.openxmlformats.org/spreadsheetml/2006/main">
  <x:sheets>
    <x:sheet xmlns:r="http://schemas.openxmlformats.org/officeDocument/2006/relationships" name="Tracker" sheetId="1" r:id="R034a7e7775c84230"/>
    <x:sheet xmlns:r="http://schemas.openxmlformats.org/officeDocument/2006/relationships" name="Dashboard" sheetId="2" r:id="Rca5e93f65c294ac2"/>
    <x:sheet xmlns:r="http://schemas.openxmlformats.org/officeDocument/2006/relationships" name="Lists" sheetId="3" r:id="Re7c5184d071445a0"/>
    <x:sheet xmlns:r="http://schemas.openxmlformats.org/officeDocument/2006/relationships" name="Instructions" sheetId="4" r:id="Ra95e1a61c5844485"/>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b1c75bf98d7499c" /><Relationship Type="http://schemas.openxmlformats.org/officeDocument/2006/relationships/theme" Target="/xl/theme/theme1.xml" Id="R188b6ffbbdec436d" /><Relationship Type="http://schemas.openxmlformats.org/officeDocument/2006/relationships/sharedStrings" Target="/xl/sharedStrings.xml" Id="Rce50c6a875ec4114" /><Relationship Type="http://schemas.openxmlformats.org/officeDocument/2006/relationships/worksheet" Target="/xl/worksheets/sheet1.xml" Id="R034a7e7775c84230" /><Relationship Type="http://schemas.openxmlformats.org/officeDocument/2006/relationships/worksheet" Target="/xl/worksheets/sheet2.xml" Id="Rca5e93f65c294ac2" /><Relationship Type="http://schemas.openxmlformats.org/officeDocument/2006/relationships/worksheet" Target="/xl/worksheets/sheet3.xml" Id="Re7c5184d071445a0" /><Relationship Type="http://schemas.openxmlformats.org/officeDocument/2006/relationships/worksheet" Target="/xl/worksheets/sheet4.xml" Id="Ra95e1a61c584448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4" s="14" t="str">
        <x:v>Verified</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PASS — 46/46 web tests, 18-case core corpus, 13-case campaign corpus, active artifact validators, Stripe regression, Go test/vet, local browser download, and production browser download passed. Evidence: qa_evidence/webmcp_reflection_dossier/.</x:v>
      </x:c>
      <x:c r="N94" s="14" t="str">
        <x:v>Resolved — a completed participant can preserve the full reflection locally without email or registration.</x:v>
      </x:c>
      <x:c r="O94" s="14" t="str">
        <x:v>None</x:v>
      </x:c>
      <x:c r="P94" s="14" t="str">
        <x:v>No — completed.</x:v>
      </x:c>
      <x:c r="Q94" s="14" t="str">
        <x:v>Yes — added strict confirmed export tool, deterministic dossier builder, Markdown/JSON formats, representative or explicit public card metadata, browser Blob download, lifecycle-safe summaries, and no-egress browser coverage.</x:v>
      </x:c>
      <x:c r="R94" s="14"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4" s="14" t="str">
        <x:v>04af3d3</x:v>
      </x:c>
      <x:c r="T94" s="14" t="str">
        <x:v>Run unit, schema, dossier-content, real-download, no-egress, full WebMCP corpus, submission, competition, site, Stripe, Go, and production Chrome checks after implementation.</x:v>
      </x:c>
      <x:c r="U94" s="14"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4" s="14" t="str">
        <x:v>Verified</x:v>
      </x:c>
      <x:c r="W94" s="14" t="str">
        <x:v>No — the requested local export is authorized. Explicit human confirmation is added because file creation is a consequential browser side effect.</x:v>
      </x:c>
      <x:c r="X94" s="14"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4" s="14" t="str">
        <x:v>Zero-Egress Diagnostic Dossier Export (export_reflection_dossier): generate and trigger a local Markdown or JSON reflection receipt using a client Blob without email or registration.</x:v>
      </x:c>
    </x:row>
    <x:row r="95">
      <x:c r="A95" s="14" t="str">
        <x:v>WM-018</x:v>
      </x:c>
      <x:c r="B95" s="14" t="str">
        <x:v>One-command WebMCP evaluation runner</x:v>
      </x:c>
      <x:c r="C95" s="14" t="str">
        <x:v>WebMCP developer verification</x:v>
      </x:c>
      <x:c r="D95" s="14" t="str">
        <x:v>package.json; scripts/test-webmcp-eval.mjs; .github/workflows/webmcp-eval.yml; README.md; SUBMISSION.md</x:v>
      </x:c>
      <x:c r="E95" s="14" t="str">
        <x:v>npm run test:webmcp; npm run test:webmcp-eval</x:v>
      </x:c>
      <x:c r="F95" s="14" t="str">
        <x:v>Competition judge or repository contributor</x:v>
      </x:c>
      <x:c r="G95" s="14" t="str">
        <x:v>As a competition judge or contributor, I want one documented command to run the WebMCP regression benchmark, so that I can verify registration, consent, completion, output, and commerce boundaries without manual setup.</x:v>
      </x:c>
      <x:c r="H95" s="14"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5" s="14"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5" s="14" t="str">
        <x:v>Fixed</x:v>
      </x:c>
      <x:c r="K95" s="14" t="str">
        <x:v>CLI integration + headless browser + CI configuration</x:v>
      </x:c>
      <x:c r="L95" s="14"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5" s="14"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5" s="14" t="str">
        <x:v>Resolved — the first runner draft inspected a nonexistent browser-storage key; the canonical mirrorloop.reflection.answers.v1 record is now used. No app defect was found by this failure.</x:v>
      </x:c>
      <x:c r="O95" s="14" t="str">
        <x:v>Medium</x:v>
      </x:c>
      <x:c r="P95" s="14" t="str">
        <x:v>No — implementation and runner repair are complete.</x:v>
      </x:c>
      <x:c r="Q95" s="14" t="str">
        <x:v>Yes — added the self-hosting headless evaluator, package aliases, failure receipts, CI workflow, documentation, submission validation, and corrected storage inspection.</x:v>
      </x:c>
      <x:c r="R95" s="14" t="str">
        <x:v>scripts/test-webmcp-eval.mjs; package.json; .github/workflows/webmcp-eval.yml; README.md; SUBMISSION.md; scripts/validate-submission.mjs; CHANGELOG.md; qa_evidence/webmcp_ci_eval/; feature_status_tracker.csv; feature_status_tracker.xlsx; feature_status_tracker.html; feature_qa_report.md</x:v>
      </x:c>
      <x:c r="S95" s="14" t="str">
        <x:v>ab1ce3f</x:v>
      </x:c>
      <x:c r="T95" s="14"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5" s="14" t="str">
        <x:v>PASS — both command names passed locally; the production-targeted run passed; the forced failure exited 1 and emitted a FAIL receipt; 46/46 web tests, site validation, submission validation, and JavaScript syntax checks passed. GitHub Actions run 33339636907 completed successfully for commit 304dfe7. Evidence: qa_evidence/webmcp_ci_eval/.</x:v>
      </x:c>
      <x:c r="V95" s="14" t="str">
        <x:v>Verified</x:v>
      </x:c>
      <x:c r="W95" s="14" t="str">
        <x:v>No</x:v>
      </x:c>
      <x:c r="X95" s="14"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Hosted CI evidence: https://github.com/aitrailblazer/mirrorloopai-webmcp-challenge/actions/runs/33339636907.</x:v>
      </x:c>
      <x:c r="Y95" s="14" t="str">
        <x:v>Automated CI/CD WebMCP Evaluation Runner: provide a one-command headless benchmark for registration, budgets, human confirmation, premature completion, and safe commerce.</x:v>
      </x:c>
    </x:row>
    <x:row r="96">
      <x:c r="A96" s="14" t="str">
        <x:v>WM-019</x:v>
      </x:c>
      <x:c r="B96" s="14" t="str">
        <x:v>Why agents co-pilot this node</x:v>
      </x:c>
      <x:c r="C96" s="14" t="str">
        <x:v>WebMCP positioning and judge demo</x:v>
      </x:c>
      <x:c r="D96" s="14" t="str">
        <x:v>README.md; web/evals/webmcp-evals.json; scripts/validate-webmcp-evals.mjs; WEBMCP_DEMO_SHOT_LIST.html; scripts/validate-submission.mjs</x:v>
      </x:c>
      <x:c r="E96" s="14" t="str">
        <x:v>Public README; deterministic WebMCP corpus; 2:35 demo shot list</x:v>
      </x:c>
      <x:c r="F96" s="14" t="str">
        <x:v>Competition judge agent developer or prospective participant</x:v>
      </x:c>
      <x:c r="G96" s="14" t="str">
        <x:v>As a competition judge or agent developer, I want a concise evidence-backed explanation of why an agent should use MIRROR//LOOP instead of reproducing the flow in chat, so that I can understand its distinctive WebMCP value and human-authority boundaries.</x:v>
      </x:c>
      <x:c r="H96" s="14" t="str">
        <x:v>README contains a section titled Why Autonomous Agents Co-Pilot This Node with six accurate reasons: deterministic multi-step state and scoring; selective retrieval of the active question or one of 144 cards; authoritative public choice explanation and comparison; bounded action output plus local dossier export; explicit human confirmation and read-only commerce boundaries; and browser-local-by-default privacy with precise optional-email and aggregate-analytics exceptions. The 18-case corpus explicitly tests ambiguity resolution through explain_choice followed by a separately confirmed answer and rejects an instruction to answer without explicit confirmation. The corpus validator asserts those contracts. Act I of the 2:35 demo visually contrasts chat-only coordination burden with the site-owned typed contract without claiming a measured standalone-model failure, zero hallucination, zero tracking, or universal zero egress.</x:v>
      </x:c>
      <x:c r="I96" s="14" t="str">
        <x:v>README now contains the exact six-part evidence-backed rationale. The 18-case corpus explicitly uses explain_choice to resolve an ambiguous choice before a separately confirmed answer, while the autonomous-choice boundary produces no tool call. The demo Act I now contrasts chat-only coordination burden with a site-owned WebMCP contract and consistently reports eleven tools.</x:v>
      </x:c>
      <x:c r="J96" s="14" t="str">
        <x:v>Fixed</x:v>
      </x:c>
      <x:c r="K96" s="14" t="str">
        <x:v>Documentation contract + deterministic corpus validation + StrategiX demo artifact validation</x:v>
      </x:c>
      <x:c r="L96" s="14" t="str">
        <x:v>1. Capture baseline README headings, relevant 18 corpus cases, validator assertions, and Act I beats. 2. Add the exact README heading and six numbered evidence-backed reasons. 3. Verify privacy wording says browser-local by default and discloses optional email processing plus aggregate analytics. 4. Make one ambiguity case call explain_choice and a later answer call only with confirmed_by_user true; retain a no-call human-choice case for unconfirmed delegation. 5. Extend the validator to assert exact ambiguity and confirmation cases. 6. Revise both embedded XML beats and Lit shot data in Act I to show chat-only coordination burden versus the site-owned typed contract. 7. Add submission validation for the heading and evidence boundaries. 8. Run npm run test:webmcp:evals, npm run test:webmcp, npm test, npm run validate, npm run validate:submission, and the demo artifact validator. 9. Regenerate tracker workbook, HTML, and QA report.</x:v>
      </x:c>
      <x:c r="M96" s="14" t="str">
        <x:v>INITIAL FAIL — submission validation caught a capitalization mismatch between the README privacy phrase and its new deterministic assertion. PASS after repair — 18-case corpus validation, 7-check headless WebMCP benchmark, 46/46 web tests, site validation, submission validation, XML parsing, JavaScript syntax checks, and the rendered desktop demo inspection passed. Evidence: qa_evidence/webmcp_agent_copilot_rationale/.</x:v>
      </x:c>
      <x:c r="N96" s="14" t="str">
        <x:v>The first submission-contract assertion searched for lowercase “optional email delivery” while the README heading phrase began with a capital letter. The demo artifact also contained stale eight-tool and nine-tool labels discovered during baseline inspection.</x:v>
      </x:c>
      <x:c r="O96" s="14" t="str">
        <x:v>Low</x:v>
      </x:c>
      <x:c r="P96" s="14" t="str">
        <x:v>No — completed.</x:v>
      </x:c>
      <x:c r="Q96" s="14" t="str">
        <x:v>Yes — added the six-part README rationale, strengthened exact corpus assertions, revised the Act I contrast, qualified privacy and model-performance claims, and corrected stale demo tool counts.</x:v>
      </x:c>
      <x:c r="R96" s="14" t="str">
        <x:v>README.md; web/evals/webmcp-evals.json; scripts/validate-webmcp-evals.mjs; WEBMCP_DEMO_SHOT_LIST.html; scripts/validate-submission.mjs; CHANGELOG.md; feature_status_tracker.csv; feature_status_tracker.xlsx; feature_status_tracker.html; feature_qa_report.md; qa_evidence/webmcp_agent_copilot_rationale/</x:v>
      </x:c>
      <x:c r="S96" s="14" t="str"/>
      <x:c r="T96" s="14" t="str">
        <x:v>Repeat all listed validation commands and inspect the generated demo and tracker HTML in a browser.</x:v>
      </x:c>
      <x:c r="U96" s="14" t="str">
        <x:v>PASS — npm run test:webmcp:evals reported 18 cases, 11 tools, and 2 sequences; npm run test:webmcp passed 7 checks; npm test passed 46/46; npm run validate and npm run validate:submission passed; the embedded XML parsed; the Lit artifact rendered 10 shots with 2:35, 11, and 0 metrics and no horizontal overflow.</x:v>
      </x:c>
      <x:c r="V96" s="14" t="str">
        <x:v>Verified</x:v>
      </x:c>
      <x:c r="W96" s="14" t="str">
        <x:v>No</x:v>
      </x:c>
      <x:c r="X96" s="14" t="str">
        <x:v>The rationale describes reasons to use the site contract, not universal model failure. Browser-local privacy is scoped to the normal reflection and local export; optional email processing and aggregate analytics are disclosed. The deterministic 18-case corpus is not presented as a new model-selection study.</x:v>
      </x:c>
      <x:c r="Y96" s="14" t="str">
        <x:v>Document why autonomous agents co-pilot the node; explicitly test explain_choice ambiguity resolution and confirmed_by_user safety; contrast chat-only coordination burden with WebMCP in demo Act I.</x:v>
      </x:c>
    </x:row>
  </x:sheetData>
  <x:dataValidations count="4">
    <x:dataValidation type="list" sqref="J2:J96">
      <x:formula1>"Not Reviewed,Story Drafted,Ready For Test,Failed Test,Fix In Progress,Fixed,Retest Failed,Verified,Blocked,Needs Product Decision"</x:formula1>
    </x:dataValidation>
    <x:dataValidation type="list" sqref="O2:O96">
      <x:formula1>"Critical,High,Medium,Low,None"</x:formula1>
    </x:dataValidation>
    <x:dataValidation type="list" sqref="K2:K96">
      <x:formula1>"Code Review,Manual UI,Automated Test,Smoke Test,Regression Test,Accessibility Review,Responsive Review,Integration Test"</x:formula1>
    </x:dataValidation>
    <x:dataValidation type="list" sqref="V2:V96">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COUNTA('Tracker'!$A$2:$A$96)</x:f>
        <x:v>95</x:v>
      </x:c>
      <x:c r="D4" s="21" t="str">
        <x:v>Critical</x:v>
      </x:c>
      <x:c r="E4" s="21" t="n">
        <x:f>COUNTIFS('Tracker'!$O$2:$O$96,"Critical",'Tracker'!$V$2:$V$96,"&lt;&gt;Verified")</x:f>
        <x:v>4</x:v>
      </x:c>
    </x:row>
    <x:row r="5" ht="22" customHeight="1">
      <x:c r="A5" s="21" t="str">
        <x:v>Current Verified</x:v>
      </x:c>
      <x:c r="B5" s="21" t="n">
        <x:f>COUNTIF('Tracker'!$J$2:$J$96,"Verified")</x:f>
        <x:v>63</x:v>
      </x:c>
      <x:c r="D5" s="21" t="str">
        <x:v>High</x:v>
      </x:c>
      <x:c r="E5" s="21" t="n">
        <x:f>COUNTIFS('Tracker'!$O$2:$O$96,"High",'Tracker'!$V$2:$V$96,"&lt;&gt;Verified")</x:f>
        <x:v>2</x:v>
      </x:c>
    </x:row>
    <x:row r="6" ht="22" customHeight="1">
      <x:c r="A6" s="21" t="str">
        <x:v>Failed Test</x:v>
      </x:c>
      <x:c r="B6" s="21" t="n">
        <x:f>COUNTIF('Tracker'!$J$2:$J$96,"Failed Test")</x:f>
        <x:v>1</x:v>
      </x:c>
      <x:c r="D6" s="21" t="str">
        <x:v>Medium</x:v>
      </x:c>
      <x:c r="E6" s="21" t="n">
        <x:f>COUNTIFS('Tracker'!$O$2:$O$96,"Medium",'Tracker'!$V$2:$V$96,"&lt;&gt;Verified")</x:f>
        <x:v>0</x:v>
      </x:c>
    </x:row>
    <x:row r="7" ht="22" customHeight="1">
      <x:c r="A7" s="21" t="str">
        <x:v>Fix In Progress</x:v>
      </x:c>
      <x:c r="B7" s="21" t="n">
        <x:f>COUNTIF('Tracker'!$J$2:$J$96,"Fix In Progress")</x:f>
        <x:v>0</x:v>
      </x:c>
      <x:c r="D7" s="21" t="str">
        <x:v>Low</x:v>
      </x:c>
      <x:c r="E7" s="21" t="n">
        <x:f>COUNTIFS('Tracker'!$O$2:$O$96,"Low",'Tracker'!$V$2:$V$96,"&lt;&gt;Verified")</x:f>
        <x:v>0</x:v>
      </x:c>
    </x:row>
    <x:row r="8" ht="22" customHeight="1">
      <x:c r="A8" s="21" t="str">
        <x:v>Fixed</x:v>
      </x:c>
      <x:c r="B8" s="21" t="n">
        <x:f>COUNTIF('Tracker'!$J$2:$J$96,"Fixed")</x:f>
        <x:v>26</x:v>
      </x:c>
      <x:c r="D8" s="21" t="str">
        <x:v>Needs Product Decision</x:v>
      </x:c>
      <x:c r="E8" s="21" t="n">
        <x:f>COUNTIF('Tracker'!$W$2:$W$96,"Yes")</x:f>
        <x:v>1</x:v>
      </x:c>
    </x:row>
    <x:row r="9" ht="22" customHeight="1">
      <x:c r="A9" s="21" t="str">
        <x:v>Final Verified</x:v>
      </x:c>
      <x:c r="B9" s="21" t="n">
        <x:f>COUNTIF('Tracker'!$V$2:$V$96,"Verified")</x:f>
        <x:v>89</x:v>
      </x:c>
      <x:c r="D9" s="21" t="str">
        <x:v>Rows With Commit Hash</x:v>
      </x:c>
      <x:c r="E9" s="21" t="n">
        <x:v>61</x:v>
      </x:c>
    </x:row>
    <x:row r="10" ht="22" customHeight="1">
      <x:c r="A10" s="21" t="str">
        <x:v>Blocked</x:v>
      </x:c>
      <x:c r="B10" s="21" t="n">
        <x:f>COUNTIF('Tracker'!$V$2:$V$96,"Blocked")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