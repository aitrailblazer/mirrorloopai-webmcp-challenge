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75d38f2e154887" /></Relationships>
</file>

<file path=xl/workbook.xml><?xml version="1.0" encoding="utf-8"?>
<x:workbook xmlns:x="http://schemas.openxmlformats.org/spreadsheetml/2006/main">
  <x:sheets>
    <x:sheet xmlns:r="http://schemas.openxmlformats.org/officeDocument/2006/relationships" name="Tracker" sheetId="1" r:id="R96a30128f3cb466f"/>
    <x:sheet xmlns:r="http://schemas.openxmlformats.org/officeDocument/2006/relationships" name="Dashboard" sheetId="2" r:id="Re2ff73412c304636"/>
    <x:sheet xmlns:r="http://schemas.openxmlformats.org/officeDocument/2006/relationships" name="Lists" sheetId="3" r:id="R157ad93b5c0e4085"/>
    <x:sheet xmlns:r="http://schemas.openxmlformats.org/officeDocument/2006/relationships" name="Instructions" sheetId="4" r:id="R770837906a95484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9a6762cc1e644e7" /><Relationship Type="http://schemas.openxmlformats.org/officeDocument/2006/relationships/theme" Target="/xl/theme/theme1.xml" Id="Re4a476195f584f98" /><Relationship Type="http://schemas.openxmlformats.org/officeDocument/2006/relationships/sharedStrings" Target="/xl/sharedStrings.xml" Id="Rc003a724bf1547be" /><Relationship Type="http://schemas.openxmlformats.org/officeDocument/2006/relationships/worksheet" Target="/xl/worksheets/sheet1.xml" Id="R96a30128f3cb466f" /><Relationship Type="http://schemas.openxmlformats.org/officeDocument/2006/relationships/worksheet" Target="/xl/worksheets/sheet2.xml" Id="Re2ff73412c304636" /><Relationship Type="http://schemas.openxmlformats.org/officeDocument/2006/relationships/worksheet" Target="/xl/worksheets/sheet3.xml" Id="R157ad93b5c0e4085" /><Relationship Type="http://schemas.openxmlformats.org/officeDocument/2006/relationships/worksheet" Target="/xl/worksheets/sheet4.xml" Id="R770837906a95484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2:35 narrated storyboard exists in SUBMISSION.md, but Video URL remains PENDING and no public YouTube artifact is recorded.</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script ready; public narrated/captioned video absent. Evidence: qa_evidence/submission_readiness/deadline-preflight-2026-08-30.txt.</x:v>
      </x:c>
      <x:c r="N63" s="14" t="str">
        <x:v>No public YouTube demo URL under three minutes is available.</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c6e6b0f</x:v>
      </x:c>
      <x:c r="T63" s="14" t="str">
        <x:v>Validate the timed plan; after operator publication, verify the public YouTube URL, duration, audio, captions, and deployed behavior.</x:v>
      </x:c>
      <x:c r="U63" s="14" t="str">
        <x:v>NOT RUN — recording, upload, captions, public visibility, and playback verification require operator action.</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sheetData>
  <x:dataValidations count="4">
    <x:dataValidation type="list" sqref="J2:J90">
      <x:formula1>"Not Reviewed,Story Drafted,Ready For Test,Failed Test,Fix In Progress,Fixed,Retest Failed,Verified,Blocked,Needs Product Decision"</x:formula1>
    </x:dataValidation>
    <x:dataValidation type="list" sqref="O2:O90">
      <x:formula1>"Critical,High,Medium,Low,None"</x:formula1>
    </x:dataValidation>
    <x:dataValidation type="list" sqref="K2:K90">
      <x:formula1>"Code Review,Manual UI,Automated Test,Smoke Test,Regression Test,Accessibility Review,Responsive Review,Integration Test"</x:formula1>
    </x:dataValidation>
    <x:dataValidation type="list" sqref="V2:V90">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COUNTA('Tracker'!$A$2:$A$90)</x:f>
        <x:v>89</x:v>
      </x:c>
      <x:c r="D4" s="21" t="str">
        <x:v>Critical</x:v>
      </x:c>
      <x:c r="E4" s="21" t="n">
        <x:f>COUNTIFS('Tracker'!$O$2:$O$90,"Critical",'Tracker'!$V$2:$V$90,"&lt;&gt;Verified")</x:f>
        <x:v>4</x:v>
      </x:c>
    </x:row>
    <x:row r="5" ht="22" customHeight="1">
      <x:c r="A5" s="21" t="str">
        <x:v>Current Verified</x:v>
      </x:c>
      <x:c r="B5" s="21" t="n">
        <x:f>COUNTIF('Tracker'!$J$2:$J$90,"Verified")</x:f>
        <x:v>59</x:v>
      </x:c>
      <x:c r="D5" s="21" t="str">
        <x:v>High</x:v>
      </x:c>
      <x:c r="E5" s="21" t="n">
        <x:f>COUNTIFS('Tracker'!$O$2:$O$90,"High",'Tracker'!$V$2:$V$90,"&lt;&gt;Verified")</x:f>
        <x:v>2</x:v>
      </x:c>
    </x:row>
    <x:row r="6" ht="22" customHeight="1">
      <x:c r="A6" s="21" t="str">
        <x:v>Failed Test</x:v>
      </x:c>
      <x:c r="B6" s="21" t="n">
        <x:f>COUNTIF('Tracker'!$J$2:$J$90,"Failed Test")</x:f>
        <x:v>1</x:v>
      </x:c>
      <x:c r="D6" s="21" t="str">
        <x:v>Medium</x:v>
      </x:c>
      <x:c r="E6" s="21" t="n">
        <x:f>COUNTIFS('Tracker'!$O$2:$O$90,"Medium",'Tracker'!$V$2:$V$90,"&lt;&gt;Verified")</x:f>
        <x:v>0</x:v>
      </x:c>
    </x:row>
    <x:row r="7" ht="22" customHeight="1">
      <x:c r="A7" s="21" t="str">
        <x:v>Fix In Progress</x:v>
      </x:c>
      <x:c r="B7" s="21" t="n">
        <x:f>COUNTIF('Tracker'!$J$2:$J$90,"Fix In Progress")</x:f>
        <x:v>0</x:v>
      </x:c>
      <x:c r="D7" s="21" t="str">
        <x:v>Low</x:v>
      </x:c>
      <x:c r="E7" s="21" t="n">
        <x:f>COUNTIFS('Tracker'!$O$2:$O$90,"Low",'Tracker'!$V$2:$V$90,"&lt;&gt;Verified")</x:f>
        <x:v>0</x:v>
      </x:c>
    </x:row>
    <x:row r="8" ht="22" customHeight="1">
      <x:c r="A8" s="21" t="str">
        <x:v>Fixed</x:v>
      </x:c>
      <x:c r="B8" s="21" t="n">
        <x:f>COUNTIF('Tracker'!$J$2:$J$90,"Fixed")</x:f>
        <x:v>24</x:v>
      </x:c>
      <x:c r="D8" s="21" t="str">
        <x:v>Needs Product Decision</x:v>
      </x:c>
      <x:c r="E8" s="21" t="n">
        <x:f>COUNTIF('Tracker'!$W$2:$W$90,"Yes")</x:f>
        <x:v>1</x:v>
      </x:c>
    </x:row>
    <x:row r="9" ht="22" customHeight="1">
      <x:c r="A9" s="21" t="str">
        <x:v>Final Verified</x:v>
      </x:c>
      <x:c r="B9" s="21" t="n">
        <x:f>COUNTIF('Tracker'!$V$2:$V$90,"Verified")</x:f>
        <x:v>83</x:v>
      </x:c>
      <x:c r="D9" s="21" t="str">
        <x:v>Rows With Commit Hash</x:v>
      </x:c>
      <x:c r="E9" s="21" t="n">
        <x:v>56</x:v>
      </x:c>
    </x:row>
    <x:row r="10" ht="22" customHeight="1">
      <x:c r="A10" s="21" t="str">
        <x:v>Blocked</x:v>
      </x:c>
      <x:c r="B10" s="21" t="n">
        <x:f>COUNTIF('Tracker'!$V$2:$V$90,"Blocked")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