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aa1e170a6c04443" /></Relationships>
</file>

<file path=xl/workbook.xml><?xml version="1.0" encoding="utf-8"?>
<x:workbook xmlns:x="http://schemas.openxmlformats.org/spreadsheetml/2006/main">
  <x:sheets>
    <x:sheet xmlns:r="http://schemas.openxmlformats.org/officeDocument/2006/relationships" name="Tracker" sheetId="1" r:id="R647c92e907834491"/>
    <x:sheet xmlns:r="http://schemas.openxmlformats.org/officeDocument/2006/relationships" name="Dashboard" sheetId="2" r:id="R55e99cc0822245f6"/>
    <x:sheet xmlns:r="http://schemas.openxmlformats.org/officeDocument/2006/relationships" name="Lists" sheetId="3" r:id="R9d0eb80e3e754749"/>
    <x:sheet xmlns:r="http://schemas.openxmlformats.org/officeDocument/2006/relationships" name="Instructions" sheetId="4" r:id="Rb9631d6be3d24963"/>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6161cf7f8e34c38" /><Relationship Type="http://schemas.openxmlformats.org/officeDocument/2006/relationships/theme" Target="/xl/theme/theme1.xml" Id="R88eba091048b40e5" /><Relationship Type="http://schemas.openxmlformats.org/officeDocument/2006/relationships/sharedStrings" Target="/xl/sharedStrings.xml" Id="R53464fca8cf44127" /><Relationship Type="http://schemas.openxmlformats.org/officeDocument/2006/relationships/worksheet" Target="/xl/worksheets/sheet1.xml" Id="R647c92e907834491" /><Relationship Type="http://schemas.openxmlformats.org/officeDocument/2006/relationships/worksheet" Target="/xl/worksheets/sheet2.xml" Id="R55e99cc0822245f6" /><Relationship Type="http://schemas.openxmlformats.org/officeDocument/2006/relationships/worksheet" Target="/xl/worksheets/sheet3.xml" Id="R9d0eb80e3e754749" /><Relationship Type="http://schemas.openxmlformats.org/officeDocument/2006/relationships/worksheet" Target="/xl/worksheets/sheet4.xml" Id="Rb9631d6be3d2496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startReflection and Take the quiz again both clear the in-memory answer array. Reloading also loses every choice because no browser-local answer persistence exists.</x:v>
      </x:c>
      <x:c r="J85" s="14" t="str">
        <x:v>Failed Test</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both quiz entry paths call state.answers.fill(null), and no localStorage-backed answer store exists. Evidence: qa_evidence/quiz_answer_persistence/baseline.txt.</x:v>
      </x:c>
      <x:c r="N85" s="14" t="str">
        <x:v>Returning participants must repeat all 12 choices and cannot resume or selectively revise after reload.</x:v>
      </x:c>
      <x:c r="O85" s="14" t="str">
        <x:v>High</x:v>
      </x:c>
      <x:c r="P85" s="14" t="str">
        <x:v>Yes</x:v>
      </x:c>
      <x:c r="Q85" s="14" t="str">
        <x:v>No</x:v>
      </x:c>
      <x:c r="R85" s="14" t="str">
        <x:v>feature_status_tracker.csv; feature_status_tracker.xlsx; feature_status_tracker.html; feature_qa_report.md; qa_evidence/quiz_answer_persistence/baseline.txt</x:v>
      </x:c>
      <x:c r="S85" s="14" t="str"/>
      <x:c r="T85" s="14" t="str">
        <x:v>Pending implementation; execute all eight planned checks.</x:v>
      </x:c>
      <x:c r="U85" s="14" t="str">
        <x:v>Not run — implementation is intentionally blocked until this discovery, story, and test plan are committed.</x:v>
      </x:c>
      <x:c r="V85" s="14" t="str">
        <x:v>Failed Test</x:v>
      </x:c>
      <x:c r="W85" s="14" t="str">
        <x:v>No</x:v>
      </x:c>
      <x:c r="X85" s="14" t="str">
        <x:v>Storage must contain answer codes only, use an explicit schema/version, tolerate unavailable localStorage, and provide a visible clear control.</x:v>
      </x:c>
      <x:c r="Y85" s="14" t="str">
        <x:v>i need to repeat the quiz and would like the previous choices to be saved not to repeat them, if i want i can chamge them</x:v>
      </x:c>
    </x:row>
  </x:sheetData>
  <x:dataValidations count="4">
    <x:dataValidation type="list" sqref="J2:J85">
      <x:formula1>"Not Reviewed,Story Drafted,Ready For Test,Failed Test,Fix In Progress,Fixed,Retest Failed,Verified,Blocked,Needs Product Decision"</x:formula1>
    </x:dataValidation>
    <x:dataValidation type="list" sqref="O2:O85">
      <x:formula1>"Critical,High,Medium,Low,None"</x:formula1>
    </x:dataValidation>
    <x:dataValidation type="list" sqref="K2:K85">
      <x:formula1>"Code Review,Manual UI,Automated Test,Smoke Test,Regression Test,Accessibility Review,Responsive Review,Integration Test"</x:formula1>
    </x:dataValidation>
    <x:dataValidation type="list" sqref="V2:V85">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COUNTA('Tracker'!$A$2:$A$85)</x:f>
        <x:v>84</x:v>
      </x:c>
      <x:c r="D4" s="21" t="str">
        <x:v>Critical</x:v>
      </x:c>
      <x:c r="E4" s="21" t="n">
        <x:f>COUNTIFS('Tracker'!$O$2:$O$85,"Critical",'Tracker'!$V$2:$V$85,"&lt;&gt;Verified")</x:f>
        <x:v>4</x:v>
      </x:c>
    </x:row>
    <x:row r="5" ht="22" customHeight="1">
      <x:c r="A5" s="21" t="str">
        <x:v>Current Verified</x:v>
      </x:c>
      <x:c r="B5" s="21" t="n">
        <x:f>COUNTIF('Tracker'!$J$2:$J$85,"Verified")</x:f>
        <x:v>56</x:v>
      </x:c>
      <x:c r="D5" s="21" t="str">
        <x:v>High</x:v>
      </x:c>
      <x:c r="E5" s="21" t="n">
        <x:f>COUNTIFS('Tracker'!$O$2:$O$85,"High",'Tracker'!$V$2:$V$85,"&lt;&gt;Verified")</x:f>
        <x:v>2</x:v>
      </x:c>
    </x:row>
    <x:row r="6" ht="22" customHeight="1">
      <x:c r="A6" s="21" t="str">
        <x:v>Failed Test</x:v>
      </x:c>
      <x:c r="B6" s="21" t="n">
        <x:f>COUNTIF('Tracker'!$J$2:$J$85,"Failed Test")</x:f>
        <x:v>2</x:v>
      </x:c>
      <x:c r="D6" s="21" t="str">
        <x:v>Medium</x:v>
      </x:c>
      <x:c r="E6" s="21" t="n">
        <x:f>COUNTIFS('Tracker'!$O$2:$O$85,"Medium",'Tracker'!$V$2:$V$85,"&lt;&gt;Verified")</x:f>
        <x:v>0</x:v>
      </x:c>
    </x:row>
    <x:row r="7" ht="22" customHeight="1">
      <x:c r="A7" s="21" t="str">
        <x:v>Fix In Progress</x:v>
      </x:c>
      <x:c r="B7" s="21" t="n">
        <x:f>COUNTIF('Tracker'!$J$2:$J$85,"Fix In Progress")</x:f>
        <x:v>0</x:v>
      </x:c>
      <x:c r="D7" s="21" t="str">
        <x:v>Low</x:v>
      </x:c>
      <x:c r="E7" s="21" t="n">
        <x:f>COUNTIFS('Tracker'!$O$2:$O$85,"Low",'Tracker'!$V$2:$V$85,"&lt;&gt;Verified")</x:f>
        <x:v>0</x:v>
      </x:c>
    </x:row>
    <x:row r="8" ht="22" customHeight="1">
      <x:c r="A8" s="21" t="str">
        <x:v>Fixed</x:v>
      </x:c>
      <x:c r="B8" s="21" t="n">
        <x:f>COUNTIF('Tracker'!$J$2:$J$85,"Fixed")</x:f>
        <x:v>22</x:v>
      </x:c>
      <x:c r="D8" s="21" t="str">
        <x:v>Needs Product Decision</x:v>
      </x:c>
      <x:c r="E8" s="21" t="n">
        <x:f>COUNTIF('Tracker'!$W$2:$W$85,"Yes")</x:f>
        <x:v>1</x:v>
      </x:c>
    </x:row>
    <x:row r="9" ht="22" customHeight="1">
      <x:c r="A9" s="21" t="str">
        <x:v>Final Verified</x:v>
      </x:c>
      <x:c r="B9" s="21" t="n">
        <x:f>COUNTIF('Tracker'!$V$2:$V$85,"Verified")</x:f>
        <x:v>78</x:v>
      </x:c>
      <x:c r="D9" s="21" t="str">
        <x:v>Rows With Commit Hash</x:v>
      </x:c>
      <x:c r="E9" s="21" t="n">
        <x:v>51</x:v>
      </x:c>
    </x:row>
    <x:row r="10" ht="22" customHeight="1">
      <x:c r="A10" s="21" t="str">
        <x:v>Blocked</x:v>
      </x:c>
      <x:c r="B10" s="21" t="n">
        <x:f>COUNTIF('Tracker'!$V$2:$V$85,"Blocked")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