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ed0906efb14d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54a70404fc39427e"/>
    <x:sheet xmlns:r="http://schemas.openxmlformats.org/officeDocument/2006/relationships" name="Dashboard" sheetId="2" r:id="Rf99d1983d627469c"/>
    <x:sheet xmlns:r="http://schemas.openxmlformats.org/officeDocument/2006/relationships" name="Lists" sheetId="3" r:id="Ree11fb92cb59461f"/>
    <x:sheet xmlns:r="http://schemas.openxmlformats.org/officeDocument/2006/relationships" name="Instructions" sheetId="4" r:id="R3bcce38a8bd54e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8edb6c31e8470f" /><Relationship Type="http://schemas.openxmlformats.org/officeDocument/2006/relationships/theme" Target="/xl/theme/theme1.xml" Id="Rd29115726a6147b4" /><Relationship Type="http://schemas.openxmlformats.org/officeDocument/2006/relationships/sharedStrings" Target="/xl/sharedStrings.xml" Id="R0e1b733bfd3b49f2" /><Relationship Type="http://schemas.openxmlformats.org/officeDocument/2006/relationships/worksheet" Target="/xl/worksheets/sheet1.xml" Id="R54a70404fc39427e" /><Relationship Type="http://schemas.openxmlformats.org/officeDocument/2006/relationships/worksheet" Target="/xl/worksheets/sheet2.xml" Id="Rf99d1983d627469c" /><Relationship Type="http://schemas.openxmlformats.org/officeDocument/2006/relationships/worksheet" Target="/xl/worksheets/sheet3.xml" Id="Ree11fb92cb59461f" /><Relationship Type="http://schemas.openxmlformats.org/officeDocument/2006/relationships/worksheet" Target="/xl/worksheets/sheet4.xml" Id="R3bcce38a8bd54e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 Production evidence: qa_evidence/feature-audit-2026-08-30/commands/production-webmcp-identification.txt; qa_evidence/feature-audit-2026-08-30/browser/production-webmcp-identification.json.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 Connected production Chrome reported data-active=true and the exact “WebMCP ready · 8 tools” label from the deployed 20260830-1 assets.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  <x:row r="59">
      <x:c r="A59" s="14" t="str">
        <x:v>SUB-001</x:v>
      </x:c>
      <x:c r="B59" s="14" t="str">
        <x:v>Public WebMCP demo</x:v>
      </x:c>
      <x:c r="C59" s="14" t="str">
        <x:v>Competition eligibility</x:v>
      </x:c>
      <x:c r="D59" s="14" t="str">
        <x:v>web/index.html; web/app.js; web/lib/webmcp.js; firebase.json</x:v>
      </x:c>
      <x:c r="E59" s="14" t="str">
        <x:v>https://mirrorloopai.com/</x:v>
      </x:c>
      <x:c r="F59" s="14" t="str">
        <x:v>Competition judge</x:v>
      </x:c>
      <x:c r="G59" s="14" t="str">
        <x:v>As a competition judge, I want a working public WebMCP experience, so that I can evaluate real human-agent collaboration.</x:v>
      </x:c>
      <x:c r="H59" s="14" t="str">
        <x:v>The live URL is freely reachable and Chrome with WebMCP discovers and safely executes the eight declared tools.</x:v>
      </x:c>
      <x:c r="I59" s="14" t="str">
        <x:v>PASS — the live site returns HTTP 200 and connected WebMCP-enabled Chrome reports “WebMCP ready · 8 tools”; existing evidence includes native registration and safe flow execution.</x:v>
      </x:c>
      <x:c r="J59" s="14" t="str">
        <x:v>Verified</x:v>
      </x:c>
      <x:c r="K59" s="14" t="str">
        <x:v>Production browser + HTTP</x:v>
      </x:c>
      <x:c r="L59" s="14" t="str">
        <x:v>Open the production URL in connected WebMCP-enabled Chrome; verify the visible tool count, inspect registration state, and execute a safe tool flow.</x:v>
      </x:c>
      <x:c r="M59" s="14" t="str">
        <x:v>PASS — public endpoint and connected-Chrome native WebMCP evidence verified. Evidence: qa_evidence/feature-audit-2026-08-30/commands/devpost-production-baseline.txt; qa_evidence/feature-audit-2026-08-30/browser/production-webmcp-identification.json.</x:v>
      </x:c>
      <x:c r="N59" s="14" t="str"/>
      <x:c r="O59" s="14" t="str">
        <x:v>None</x:v>
      </x:c>
      <x:c r="P59" s="14" t="str">
        <x:v>No</x:v>
      </x:c>
      <x:c r="Q59" s="14" t="str"/>
      <x:c r="R59" s="14" t="str"/>
      <x:c r="S59" s="14" t="str"/>
      <x:c r="T59" s="14" t="str"/>
      <x:c r="U59" s="14" t="str"/>
      <x:c r="V59" s="14" t="str">
        <x:v>Verified</x:v>
      </x:c>
      <x:c r="W59" s="14" t="str">
        <x:v>No</x:v>
      </x:c>
      <x:c r="X59" s="14" t="str">
        <x:v>Official source: https://webmcp.devpost.com/ and https://webmcp.devpost.com/rules. Live source snapshot and SHA-256: qa_evidence/feature-audit-2026-08-30/commands/devpost-live-source-verification.txt.</x:v>
      </x:c>
      <x:c r="Y59" s="14" t="str">
        <x:v>Double check whether MIRROR//LOOP covers all WebMCP Challenge submission bases.</x:v>
      </x:c>
    </x:row>
    <x:row r="60">
      <x:c r="A60" s="14" t="str">
        <x:v>SUB-002</x:v>
      </x:c>
      <x:c r="B60" s="14" t="str">
        <x:v>Public source repository and license</x:v>
      </x:c>
      <x:c r="C60" s="14" t="str">
        <x:v>Competition eligibility</x:v>
      </x:c>
      <x:c r="D60" s="14" t="str">
        <x:v>README.md; LICENSE; repository settings</x:v>
      </x:c>
      <x:c r="E60" s="14" t="str">
        <x:v>GitHub repository</x:v>
      </x:c>
      <x:c r="F60" s="14" t="str">
        <x:v>Competition judge</x:v>
      </x:c>
      <x:c r="G60" s="14" t="str">
        <x:v>As a competition judge, I want public source code under a visible open-source license, so that I can inspect and reproduce the project.</x:v>
      </x:c>
      <x:c r="H60" s="14" t="str">
        <x:v>The repository is public, contains the necessary source and assets, and GitHub detects the top-level MIT license.</x:v>
      </x:c>
      <x:c r="I60" s="14" t="str">
        <x:v>FAIL — GitHub reports visibility PRIVATE. GitHub detects the top-level MIT license, but the mandatory anonymous public-source requirement is not met.</x:v>
      </x:c>
      <x:c r="J60" s="14" t="str">
        <x:v>Failed Test</x:v>
      </x:c>
      <x:c r="K60" s="14" t="str">
        <x:v>GitHub metadata inspection</x:v>
      </x:c>
      <x:c r="L60" s="14" t="str">
        <x:v>Query repository visibility and license metadata; verify anonymous public access requirement and top-level license.</x:v>
      </x:c>
      <x:c r="M60" s="14" t="str">
        <x:v>FAIL — visibility is PRIVATE; MIT license is detected. Evidence: qa_evidence/feature-audit-2026-08-30/commands/devpost-submission-baseline.txt.</x:v>
      </x:c>
      <x:c r="N60" s="14" t="str">
        <x:v>Repository is private, while the official rules require a public repository.</x:v>
      </x:c>
      <x:c r="O60" s="14" t="str">
        <x:v>Critical</x:v>
      </x:c>
      <x:c r="P60" s="14" t="str">
        <x:v>Yes — external repository setting change requires operator confirmation.</x:v>
      </x:c>
      <x:c r="Q60" s="14" t="str">
        <x:v>Expanded public-facing source, license, setup, and submission documentation; repository visibility was intentionally not changed without operator confirmation.</x:v>
      </x:c>
      <x:c r="R60" s="14" t="str">
        <x:v>README.md; SUBMISSION.md; THIRD_PARTY_NOTICES.md</x:v>
      </x:c>
      <x:c r="S60" s="14" t="str">
        <x:v>2f08435</x:v>
      </x:c>
      <x:c r="T60" s="14" t="str">
        <x:v>After operator confirmation, make the repository public and verify anonymous access plus GitHub license detection.</x:v>
      </x:c>
      <x:c r="U60" s="14" t="str">
        <x:v>NOT RUN — repository remains private; external publication gate is still open.</x:v>
      </x:c>
      <x:c r="V60" s="14" t="str">
        <x:v>Failed Test</x:v>
      </x:c>
      <x:c r="W60" s="14" t="str">
        <x:v>Yes — confirm publication after the final secret/IP review.</x:v>
      </x:c>
      <x:c r="X60" s="14" t="str">
        <x:v>Official source: https://webmcp.devpost.com/ and https://webmcp.devpost.com/rules. Live source snapshot and SHA-256: qa_evidence/feature-audit-2026-08-30/commands/devpost-live-source-verification.txt.</x:v>
      </x:c>
      <x:c r="Y60" s="14" t="str">
        <x:v>Double check whether MIRROR//LOOP covers all WebMCP Challenge submission bases.</x:v>
      </x:c>
    </x:row>
    <x:row r="61">
      <x:c r="A61" s="14" t="str">
        <x:v>SUB-003</x:v>
      </x:c>
      <x:c r="B61" s="14" t="str">
        <x:v>Reproducible setup and testing guide</x:v>
      </x:c>
      <x:c r="C61" s="14" t="str">
        <x:v>Competition reproducibility</x:v>
      </x:c>
      <x:c r="D61" s="14" t="str">
        <x:v>README.md; package.json; go.mod; Makefile</x:v>
      </x:c>
      <x:c r="E61" s="14" t="str">
        <x:v>README / local checkout</x:v>
      </x:c>
      <x:c r="F61" s="14" t="str">
        <x:v>Technical judge</x:v>
      </x:c>
      <x:c r="G61" s="14" t="str">
        <x:v>As a technical judge, I want concise setup, run, test, and deployment instructions, so that I can reproduce the project without private knowledge.</x:v>
      </x:c>
      <x:c r="H61" s="14" t="str">
        <x:v>README documents prerequisites, local serving, validation, WebMCP activation/testing, backend configuration boundaries, and deployment without exposing secrets.</x:v>
      </x:c>
      <x:c r="I61" s="14" t="str">
        <x:v>FAIL — README lists verification commands but lacks prerequisites, local run steps, backend configuration boundaries, deployment instructions, and a judge-oriented WebMCP test procedure.</x:v>
      </x:c>
      <x:c r="J61" s="14" t="str">
        <x:v>Fixed</x:v>
      </x:c>
      <x:c r="K61" s="14" t="str">
        <x:v>Documentation audit</x:v>
      </x:c>
      <x:c r="L61" s="14" t="str">
        <x:v>Follow README from a clean-reader perspective; compare every required command and prerequisite with repository files; run the documented verification commands.</x:v>
      </x:c>
      <x:c r="M61" s="14" t="str">
        <x:v>FAIL — required setup/reproduction sections are incomplete. Evidence: qa_evidence/feature-audit-2026-08-30/commands/devpost-submission-baseline.txt.</x:v>
      </x:c>
      <x:c r="N61" s="14" t="str">
        <x:v>A judge cannot reproduce and test the full project from the current README alone.</x:v>
      </x:c>
      <x:c r="O61" s="14" t="str">
        <x:v>High</x:v>
      </x:c>
      <x:c r="P61" s="14" t="str">
        <x:v>Yes</x:v>
      </x:c>
      <x:c r="Q61" s="14" t="str">
        <x:v>Expanded the README with prerequisites, local serving, verification, native WebMCP testing, backend boundaries, and deployment guidance.</x:v>
      </x:c>
      <x:c r="R61" s="14" t="str">
        <x:v>README.md; package.json; scripts/validate-submission.mjs</x:v>
      </x:c>
      <x:c r="S61" s="14" t="str">
        <x:v>2f08435</x:v>
      </x:c>
      <x:c r="T61" s="14" t="str">
        <x:v>Run npm run validate:submission and follow the documented local/test commands.</x:v>
      </x:c>
      <x:c r="U61" s="14" t="str">
        <x:v>PASS — all local package documentation assertions passed. Evidence: qa_evidence/feature-audit-2026-08-30/commands/devpost-submission-package-final.txt.</x:v>
      </x:c>
      <x:c r="V61" s="14" t="str">
        <x:v>Verified</x:v>
      </x:c>
      <x:c r="W61" s="14" t="str">
        <x:v>No</x:v>
      </x:c>
      <x:c r="X61" s="14" t="str">
        <x:v>Official source: https://webmcp.devpost.com/ and https://webmcp.devpost.com/rules. Live source snapshot and SHA-256: qa_evidence/feature-audit-2026-08-30/commands/devpost-live-source-verification.txt.</x:v>
      </x:c>
      <x:c r="Y61" s="14" t="str">
        <x:v>Double check whether MIRROR//LOOP covers all WebMCP Challenge submission bases.</x:v>
      </x:c>
    </x:row>
    <x:row r="62">
      <x:c r="A62" s="14" t="str">
        <x:v>SUB-004</x:v>
      </x:c>
      <x:c r="B62" s="14" t="str">
        <x:v>Required submission narrative</x:v>
      </x:c>
      <x:c r="C62" s="14" t="str">
        <x:v>Competition submission</x:v>
      </x:c>
      <x:c r="D62" s="14" t="str">
        <x:v>SUBMISSION.md; README.md</x:v>
      </x:c>
      <x:c r="E62" s="14" t="str">
        <x:v>Devpost project description</x:v>
      </x:c>
      <x:c r="F62" s="14" t="str">
        <x:v>Competition judge</x:v>
      </x:c>
      <x:c r="G62" s="14" t="str">
        <x:v>As a competition judge, I want a concise explanation of the WebMCP fit, UX improvement, new collaboration, and implementation, so that I can score the project quickly.</x:v>
      </x:c>
      <x:c r="H62" s="14" t="str">
        <x:v>A copy-ready English submission narrative explicitly answers all four required questions and links the live demo and source.</x:v>
      </x:c>
      <x:c r="I62" s="14" t="str">
        <x:v>FAIL — no copy-ready narrative answers the four required Devpost explanation prompts.</x:v>
      </x:c>
      <x:c r="J62" s="14" t="str">
        <x:v>Fixed</x:v>
      </x:c>
      <x:c r="K62" s="14" t="str">
        <x:v>Content audit</x:v>
      </x:c>
      <x:c r="L62" s="14" t="str">
        <x:v>Inspect repository for a copy-ready narrative; verify all four required explanations, live/source links, and accurate claims.</x:v>
      </x:c>
      <x:c r="M62" s="14" t="str">
        <x:v>FAIL — no submission artifact was found. Evidence: qa_evidence/feature-audit-2026-08-30/commands/devpost-submission-baseline.txt.</x:v>
      </x:c>
      <x:c r="N62" s="14" t="str">
        <x:v>Required submission description is absent.</x:v>
      </x:c>
      <x:c r="O62" s="14" t="str">
        <x:v>Critical</x:v>
      </x:c>
      <x:c r="P62" s="14" t="str">
        <x:v>Yes</x:v>
      </x:c>
      <x:c r="Q62" s="14" t="str">
        <x:v>Created a copy-ready English narrative that directly answers all four required Devpost questions.</x:v>
      </x:c>
      <x:c r="R62" s="14" t="str">
        <x:v>SUBMISSION.md; scripts/validate-submission.mjs</x:v>
      </x:c>
      <x:c r="S62" s="14" t="str">
        <x:v>2f08435</x:v>
      </x:c>
      <x:c r="T62" s="14" t="str">
        <x:v>Run submission validation and inspect the four required headings against the official rules.</x:v>
      </x:c>
      <x:c r="U62" s="14" t="str">
        <x:v>PASS — all four required explanation sections and public links are present. Evidence: qa_evidence/feature-audit-2026-08-30/commands/devpost-submission-package-final.txt.</x:v>
      </x:c>
      <x:c r="V62" s="14" t="str">
        <x:v>Verified</x:v>
      </x:c>
      <x:c r="W62" s="14" t="str">
        <x:v>No</x:v>
      </x:c>
      <x:c r="X62" s="14" t="str">
        <x:v>Official source: https://webmcp.devpost.com/ and https://webmcp.devpost.com/rules. Live source snapshot and SHA-256: qa_evidence/feature-audit-2026-08-30/commands/devpost-live-source-verification.txt.</x:v>
      </x:c>
      <x:c r="Y62" s="14" t="str">
        <x:v>Double check whether MIRROR//LOOP covers all WebMCP Challenge submission bases.</x:v>
      </x:c>
    </x:row>
    <x:row r="63">
      <x:c r="A63" s="14" t="str">
        <x:v>SUB-005</x:v>
      </x:c>
      <x:c r="B63" s="14" t="str">
        <x:v>Under-three-minute narrated demo plan</x:v>
      </x:c>
      <x:c r="C63" s="14" t="str">
        <x:v>Competition submission</x:v>
      </x:c>
      <x:c r="D63" s="14" t="str">
        <x:v>SUBMISSION.md; docs/demo/</x:v>
      </x:c>
      <x:c r="E63" s="14" t="str">
        <x:v>Public YouTube demo</x:v>
      </x:c>
      <x:c r="F63" s="14" t="str">
        <x:v>Competition judge</x:v>
      </x:c>
      <x:c r="G63" s="14" t="str">
        <x:v>As a competition judge, I want a short narrated demonstration, so that I can see the human-agent workflow and working tools without reconstructing it.</x:v>
      </x:c>
      <x:c r="H63" s="14" t="str">
        <x:v>A public YouTube video under three minutes demonstrates the live site, visible WebMCP readiness, agent-assisted reflection, card lookup, edition recommendation, and human-controlled conversion; the repo contains a timed shot list.</x:v>
      </x:c>
      <x:c r="I63" s="14" t="str">
        <x:v>FAIL — no public YouTube URL or timed sub-three-minute recording plan exists in the repository.</x:v>
      </x:c>
      <x:c r="J63" s="14" t="str">
        <x:v>Needs Product Decision</x:v>
      </x:c>
      <x:c r="K63" s="14" t="str">
        <x:v>Artifact + content audit</x:v>
      </x:c>
      <x:c r="L63" s="14" t="str">
        <x:v>Check for a public YouTube URL and a timed script shorter than three minutes; verify the script demonstrates functioning WebMCP and avoids unlicensed media.</x:v>
      </x:c>
      <x:c r="M63" s="14" t="str">
        <x:v>FAIL — no video or demo-plan artifact was found. Evidence: qa_evidence/feature-audit-2026-08-30/commands/devpost-submission-baseline.txt.</x:v>
      </x:c>
      <x:c r="N63" s="14" t="str">
        <x:v>The required public demo video is absent.</x:v>
      </x:c>
      <x:c r="O63" s="14" t="str">
        <x:v>Critical</x:v>
      </x:c>
      <x:c r="P63" s="14" t="str">
        <x:v>Yes — create the local script now; recording/upload remains an operator action.</x:v>
      </x:c>
      <x:c r="Q63" s="14" t="str">
        <x:v>Added a timed 2:35 demo shot list, narration, rights safeguards, captions check, and required flow. The public YouTube artifact remains external.</x:v>
      </x:c>
      <x:c r="R63" s="14" t="str">
        <x:v>SUBMISSION.md; scripts/validate-submission.mjs</x:v>
      </x:c>
      <x:c r="S63" s="14" t="str">
        <x:v>2f08435</x:v>
      </x:c>
      <x:c r="T63" s="14" t="str">
        <x:v>Validate the timed plan; after operator publication, verify the public YouTube URL, duration, audio, captions, and deployed behavior.</x:v>
      </x:c>
      <x:c r="U63" s="14" t="str">
        <x:v>PARTIAL PASS — local 2:35 plan is validated; public YouTube URL remains pending. Evidence: qa_evidence/feature-audit-2026-08-30/commands/devpost-submission-package-final.txt.</x:v>
      </x:c>
      <x:c r="V63" s="14" t="str">
        <x:v>Needs Product Decision</x:v>
      </x:c>
      <x:c r="W63" s="14" t="str">
        <x:v>Yes — operator must record/approve and publish the final video.</x:v>
      </x:c>
      <x:c r="X63" s="14" t="str">
        <x:v>Official source: https://webmcp.devpost.com/ and https://webmcp.devpost.com/rules. Live source snapshot and SHA-256: qa_evidence/feature-audit-2026-08-30/commands/devpost-live-source-verification.txt.</x:v>
      </x:c>
      <x:c r="Y63" s="14" t="str">
        <x:v>Double check whether MIRROR//LOOP covers all WebMCP Challenge submission bases.</x:v>
      </x:c>
    </x:row>
    <x:row r="64">
      <x:c r="A64" s="14" t="str">
        <x:v>SUB-006</x:v>
      </x:c>
      <x:c r="B64" s="14" t="str">
        <x:v>Pre-existing versus challenge work disclosure</x:v>
      </x:c>
      <x:c r="C64" s="14" t="str">
        <x:v>Competition eligibility</x:v>
      </x:c>
      <x:c r="D64" s="14" t="str">
        <x:v>README.md; SUBMISSION.md; git history</x:v>
      </x:c>
      <x:c r="E64" s="14" t="str">
        <x:v>Repository history</x:v>
      </x:c>
      <x:c r="F64" s="14" t="str">
        <x:v>Competition judge</x:v>
      </x:c>
      <x:c r="G64" s="14" t="str">
        <x:v>As a competition judge, I want the pre-existing product separated from challenge-period WebMCP work, so that I can verify meaningful development after the event began.</x:v>
      </x:c>
      <x:c r="H64" s="14" t="str">
        <x:v>Documentation distinguishes the pre-existing site from WebMCP additions and cites timestamped commits made after 2026-08-25.</x:v>
      </x:c>
      <x:c r="I64" s="14" t="str">
        <x:v>FAIL — timestamped commits after 2026-08-25 prove challenge-period work, but public documentation does not distinguish the pre-existing product from the new WebMCP extension.</x:v>
      </x:c>
      <x:c r="J64" s="14" t="str">
        <x:v>Fixed</x:v>
      </x:c>
      <x:c r="K64" s="14" t="str">
        <x:v>Git + documentation audit</x:v>
      </x:c>
      <x:c r="L64" s="14" t="str">
        <x:v>Inspect timestamped commits since 2026-08-25 and compare them with an explicit prior/new-work section in public documentation.</x:v>
      </x:c>
      <x:c r="M64" s="14" t="str">
        <x:v>FAIL — commit evidence exists; required disclosure is absent. Evidence: qa_evidence/feature-audit-2026-08-30/commands/devpost-submission-baseline.txt.</x:v>
      </x:c>
      <x:c r="N64" s="14" t="str">
        <x:v>Existing-project disclosure is missing despite strong git evidence.</x:v>
      </x:c>
      <x:c r="O64" s="14" t="str">
        <x:v>High</x:v>
      </x:c>
      <x:c r="P64" s="14" t="str">
        <x:v>Yes</x:v>
      </x:c>
      <x:c r="Q64" s="14" t="str">
        <x:v>Documented the pre-existing product separately from challenge-period WebMCP extensions and cited four timestamped commits.</x:v>
      </x:c>
      <x:c r="R64" s="14" t="str">
        <x:v>README.md; SUBMISSION.md; scripts/validate-submission.mjs</x:v>
      </x:c>
      <x:c r="S64" s="14" t="str">
        <x:v>2f08435</x:v>
      </x:c>
      <x:c r="T64" s="14" t="str">
        <x:v>Compare the disclosure with git log dates and validate every cited commit.</x:v>
      </x:c>
      <x:c r="U64" s="14" t="str">
        <x:v>PASS — prior/new work is explicit and all cited challenge commits exist after 2026-08-25.</x:v>
      </x:c>
      <x:c r="V64" s="14" t="str">
        <x:v>Verified</x:v>
      </x:c>
      <x:c r="W64" s="14" t="str">
        <x:v>No</x:v>
      </x:c>
      <x:c r="X64" s="14" t="str">
        <x:v>Official source: https://webmcp.devpost.com/ and https://webmcp.devpost.com/rules. Live source snapshot and SHA-256: qa_evidence/feature-audit-2026-08-30/commands/devpost-live-source-verification.txt.</x:v>
      </x:c>
      <x:c r="Y64" s="14" t="str">
        <x:v>Double check whether MIRROR//LOOP covers all WebMCP Challenge submission bases.</x:v>
      </x:c>
    </x:row>
    <x:row r="65">
      <x:c r="A65" s="14" t="str">
        <x:v>SUB-007</x:v>
      </x:c>
      <x:c r="B65" s="14" t="str">
        <x:v>Devpost project draft readiness</x:v>
      </x:c>
      <x:c r="C65" s="14" t="str">
        <x:v>Competition operations</x:v>
      </x:c>
      <x:c r="D65" s="14" t="str">
        <x:v>SUBMISSION.md</x:v>
      </x:c>
      <x:c r="E65" s="14" t="str">
        <x:v>Devpost dashboard</x:v>
      </x:c>
      <x:c r="F65" s="14" t="str">
        <x:v>Entrant</x:v>
      </x:c>
      <x:c r="G65" s="14" t="str">
        <x:v>As an entrant, I want a prepared Devpost draft checklist, so that I can create the project without omitting a required field.</x:v>
      </x:c>
      <x:c r="H65" s="14" t="str">
        <x:v>A Devpost project exists or a complete field-by-field draft package is ready; external creation remains operator-confirmed.</x:v>
      </x:c>
      <x:c r="I65" s="14" t="str">
        <x:v>FAIL — authenticated Devpost dashboard shows no project; local field-by-field submission package is also absent.</x:v>
      </x:c>
      <x:c r="J65" s="14" t="str">
        <x:v>Needs Product Decision</x:v>
      </x:c>
      <x:c r="K65" s="14" t="str">
        <x:v>Authenticated browser + checklist audit</x:v>
      </x:c>
      <x:c r="L65" s="14" t="str">
        <x:v>Inspect the entrant dashboard for an existing project; compare local package with all required Devpost fields.</x:v>
      </x:c>
      <x:c r="M65" s="14" t="str">
        <x:v>FAIL — dashboard says “Start a Project to begin your submission.” Evidence: qa_evidence/feature-audit-2026-08-30/browser/devpost-dashboard-and-browser-state.json.</x:v>
      </x:c>
      <x:c r="N65" s="14" t="str">
        <x:v>No Devpost project has been created.</x:v>
      </x:c>
      <x:c r="O65" s="14" t="str">
        <x:v>Critical</x:v>
      </x:c>
      <x:c r="P65" s="14" t="str">
        <x:v>Yes — prepare local package; project creation requires operator confirmation.</x:v>
      </x:c>
      <x:c r="Q65" s="14" t="str">
        <x:v>Prepared the title, tagline, URLs, description, judging map, test path, video plan, and final field checklist. Devpost project creation remains external.</x:v>
      </x:c>
      <x:c r="R65" s="14" t="str">
        <x:v>SUBMISSION.md; scripts/validate-submission.mjs</x:v>
      </x:c>
      <x:c r="S65" s="14" t="str">
        <x:v>2f08435</x:v>
      </x:c>
      <x:c r="T65" s="14" t="str">
        <x:v>Run local package validation; after confirmation, create the Devpost project and compare every field with SUBMISSION.md.</x:v>
      </x:c>
      <x:c r="U65" s="14" t="str">
        <x:v>PARTIAL PASS — complete local field package exists; authenticated dashboard still has no project. Evidence: qa_evidence/feature-audit-2026-08-30/commands/devpost-submission-package-final.txt; qa_evidence/feature-audit-2026-08-30/browser/devpost-dashboard-and-browser-state.json.</x:v>
      </x:c>
      <x:c r="V65" s="14" t="str">
        <x:v>Needs Product Decision</x:v>
      </x:c>
      <x:c r="W65" s="14" t="str">
        <x:v>Yes — creating the Devpost project is an external representational action.</x:v>
      </x:c>
      <x:c r="X65" s="14" t="str">
        <x:v>Official source: https://webmcp.devpost.com/ and https://webmcp.devpost.com/rules. Live source snapshot and SHA-256: qa_evidence/feature-audit-2026-08-30/commands/devpost-live-source-verification.txt.</x:v>
      </x:c>
      <x:c r="Y65" s="14" t="str">
        <x:v>Double check whether MIRROR//LOOP covers all WebMCP Challenge submission bases.</x:v>
      </x:c>
    </x:row>
    <x:row r="66">
      <x:c r="A66" s="14" t="str">
        <x:v>SUB-008</x:v>
      </x:c>
      <x:c r="B66" s="14" t="str">
        <x:v>Eligibility, ownership, and third-party rights attestation</x:v>
      </x:c>
      <x:c r="C66" s="14" t="str">
        <x:v>Competition compliance</x:v>
      </x:c>
      <x:c r="D66" s="14" t="str">
        <x:v>LICENSE; README.md; SUBMISSION.md; THIRD_PARTY_NOTICES.md</x:v>
      </x:c>
      <x:c r="E66" s="14" t="str">
        <x:v>Submission attestation</x:v>
      </x:c>
      <x:c r="F66" s="14" t="str">
        <x:v>Entrant</x:v>
      </x:c>
      <x:c r="G66" s="14" t="str">
        <x:v>As an entrant, I want an explicit rights and eligibility checklist, so that I do not submit material I cannot lawfully enter.</x:v>
      </x:c>
      <x:c r="H66" s="14" t="str">
        <x:v>The operator confirms entrant eligibility and ownership/authorization; repository documents third-party services/assets and excludes private corpora and secrets.</x:v>
      </x:c>
      <x:c r="I66" s="14" t="str">
        <x:v>PARTIAL — MIT license and private-corpus exclusions are present, but entrant eligibility, ownership authorization, and a consolidated third-party notice remain unresolved.</x:v>
      </x:c>
      <x:c r="J66" s="14" t="str">
        <x:v>Needs Product Decision</x:v>
      </x:c>
      <x:c r="K66" s="14" t="str">
        <x:v>Compliance checklist</x:v>
      </x:c>
      <x:c r="L66" s="14" t="str">
        <x:v>Review rules, licenses, asset/source statements, dependency/service notices, and identify attestations that only the operator can confirm.</x:v>
      </x:c>
      <x:c r="M66" s="14" t="str">
        <x:v>PARTIAL — repository safeguards exist; operator attestations are unresolved. Evidence: qa_evidence/feature-audit-2026-08-30/commands/devpost-requirements-audit.txt; README.md; LICENSE.</x:v>
      </x:c>
      <x:c r="N66" s="14" t="str">
        <x:v>Operator-only eligibility and rights attestations cannot be inferred from code.</x:v>
      </x:c>
      <x:c r="O66" s="14" t="str">
        <x:v>Critical</x:v>
      </x:c>
      <x:c r="P66" s="14" t="str">
        <x:v>Yes — add a checklist and third-party notice; operator must confirm attestations.</x:v>
      </x:c>
      <x:c r="Q66" s="14" t="str">
        <x:v>Added third-party service/data boundaries and an explicit operator rights and eligibility checklist. Human attestations remain unresolved.</x:v>
      </x:c>
      <x:c r="R66" s="14" t="str">
        <x:v>THIRD_PARTY_NOTICES.md; README.md; SUBMISSION.md; scripts/validate-submission.mjs</x:v>
      </x:c>
      <x:c r="S66" s="14" t="str">
        <x:v>2f08435</x:v>
      </x:c>
      <x:c r="T66" s="14" t="str">
        <x:v>Run local validation; operator completes every attestation and final public-repository scan.</x:v>
      </x:c>
      <x:c r="U66" s="14" t="str">
        <x:v>PARTIAL PASS — notices and checklist are complete; entrant eligibility and rights assertions require operator confirmation.</x:v>
      </x:c>
      <x:c r="V66" s="14" t="str">
        <x:v>Needs Product Decision</x:v>
      </x:c>
      <x:c r="W66" s="14" t="str">
        <x:v>Yes — entrant age/location/authority and asset rights.</x:v>
      </x:c>
      <x:c r="X66" s="14" t="str">
        <x:v>Official source: https://webmcp.devpost.com/ and https://webmcp.devpost.com/rules. Live source snapshot and SHA-256: qa_evidence/feature-audit-2026-08-30/commands/devpost-live-source-verification.txt.</x:v>
      </x:c>
      <x:c r="Y66" s="14" t="str">
        <x:v>Double check whether MIRROR//LOOP covers all WebMCP Challenge submission bases.</x:v>
      </x:c>
    </x:row>
    <x:row r="67">
      <x:c r="A67" s="14" t="str">
        <x:v>SUB-009</x:v>
      </x:c>
      <x:c r="B67" s="14" t="str">
        <x:v>Judging-period availability and release freeze</x:v>
      </x:c>
      <x:c r="C67" s="14" t="str">
        <x:v>Competition operations</x:v>
      </x:c>
      <x:c r="D67" s="14" t="str">
        <x:v>SUBMISSION.md; README.md</x:v>
      </x:c>
      <x:c r="E67" s="14" t="str">
        <x:v>Live service and repository</x:v>
      </x:c>
      <x:c r="F67" s="14" t="str">
        <x:v>Competition judge</x:v>
      </x:c>
      <x:c r="G67" s="14" t="str">
        <x:v>As a competition judge, I want stable unrestricted access during judging, so that the evaluated project does not change or disappear.</x:v>
      </x:c>
      <x:c r="H67" s="14" t="str">
        <x:v>Documentation defines the judging window, free-access checks, release tag, freeze procedure, and fork-only post-deadline development policy.</x:v>
      </x:c>
      <x:c r="I67" s="14" t="str">
        <x:v>FAIL — no documented release tag, deadline freeze, judging-window availability checks, or fork-only continuation plan exists.</x:v>
      </x:c>
      <x:c r="J67" s="14" t="str">
        <x:v>Fixed</x:v>
      </x:c>
      <x:c r="K67" s="14" t="str">
        <x:v>Operations documentation audit</x:v>
      </x:c>
      <x:c r="L67" s="14" t="str">
        <x:v>Inspect docs for deadline, judging window, availability checks, release tag, freeze owner, and post-deadline fork policy.</x:v>
      </x:c>
      <x:c r="M67" s="14" t="str">
        <x:v>FAIL — freeze/judging terms are absent from current docs. Evidence: qa_evidence/feature-audit-2026-08-30/commands/devpost-submission-baseline.txt.</x:v>
      </x:c>
      <x:c r="N67" s="14" t="str">
        <x:v>The project lacks a judging-period stability plan.</x:v>
      </x:c>
      <x:c r="O67" s="14" t="str">
        <x:v>High</x:v>
      </x:c>
      <x:c r="P67" s="14" t="str">
        <x:v>Yes</x:v>
      </x:c>
      <x:c r="Q67" s="14" t="str">
        <x:v>Added deadline, judging window, release tag, anonymous-access checks, no-change freeze, and fork-only continuation procedure.</x:v>
      </x:c>
      <x:c r="R67" s="14" t="str">
        <x:v>SUBMISSION.md; README.md; scripts/validate-submission.mjs</x:v>
      </x:c>
      <x:c r="S67" s="14" t="str">
        <x:v>2f08435</x:v>
      </x:c>
      <x:c r="T67" s="14" t="str">
        <x:v>Run submission validation and inspect the freeze steps and dates against the official rules.</x:v>
      </x:c>
      <x:c r="U67" s="14" t="str">
        <x:v>PASS — freeze and judging-window plan validated. Evidence: qa_evidence/feature-audit-2026-08-30/commands/devpost-submission-package-final.txt.</x:v>
      </x:c>
      <x:c r="V67" s="14" t="str">
        <x:v>Verified</x:v>
      </x:c>
      <x:c r="W67" s="14" t="str">
        <x:v>No</x:v>
      </x:c>
      <x:c r="X67" s="14" t="str">
        <x:v>Official source: https://webmcp.devpost.com/ and https://webmcp.devpost.com/rules. Live source snapshot and SHA-256: qa_evidence/feature-audit-2026-08-30/commands/devpost-live-source-verification.txt.</x:v>
      </x:c>
      <x:c r="Y67" s="14" t="str">
        <x:v>Double check whether MIRROR//LOOP covers all WebMCP Challenge submission bases.</x:v>
      </x:c>
    </x:row>
    <x:row r="68">
      <x:c r="A68" s="14" t="str">
        <x:v>SUB-010</x:v>
      </x:c>
      <x:c r="B68" s="14" t="str">
        <x:v>Four-criterion judge orientation</x:v>
      </x:c>
      <x:c r="C68" s="14" t="str">
        <x:v>Competition presentation</x:v>
      </x:c>
      <x:c r="D68" s="14" t="str">
        <x:v>README.md; SUBMISSION.md; qa_evidence/</x:v>
      </x:c>
      <x:c r="E68" s="14" t="str">
        <x:v>README and Devpost description</x:v>
      </x:c>
      <x:c r="F68" s="14" t="str">
        <x:v>Competition judge</x:v>
      </x:c>
      <x:c r="G68" s="14" t="str">
        <x:v>As a competition judge, I want evidence organized around WebMCP leverage, execution, impact, and creativity, so that each scoring dimension is immediately supported.</x:v>
      </x:c>
      <x:c r="H68" s="14" t="str">
        <x:v>The submission maps concrete product behavior and evidence to all four equally weighted judging criteria without unsupported claims.</x:v>
      </x:c>
      <x:c r="I68" s="14" t="str">
        <x:v>FAIL — implementation evidence is strong, but no judge-facing map addresses all four equal criteria.</x:v>
      </x:c>
      <x:c r="J68" s="14" t="str">
        <x:v>Fixed</x:v>
      </x:c>
      <x:c r="K68" s="14" t="str">
        <x:v>Content + evidence audit</x:v>
      </x:c>
      <x:c r="L68" s="14" t="str">
        <x:v>Compare README/submission copy and evidence pointers with each official judging criterion; reject unsupported superlatives.</x:v>
      </x:c>
      <x:c r="M68" s="14" t="str">
        <x:v>FAIL — no criterion map was found. Evidence: qa_evidence/feature-audit-2026-08-30/commands/devpost-submission-baseline.txt.</x:v>
      </x:c>
      <x:c r="N68" s="14" t="str">
        <x:v>Judges must reconstruct the scoring case from source and QA artifacts.</x:v>
      </x:c>
      <x:c r="O68" s="14" t="str">
        <x:v>High</x:v>
      </x:c>
      <x:c r="P68" s="14" t="str">
        <x:v>Yes</x:v>
      </x:c>
      <x:c r="Q68" s="14" t="str">
        <x:v>Added an evidence-bounded map for WebMCP Leverage, Execution, Potential Impact, and Creativity &amp; Ambition.</x:v>
      </x:c>
      <x:c r="R68" s="14" t="str">
        <x:v>SUBMISSION.md; scripts/validate-submission.mjs</x:v>
      </x:c>
      <x:c r="S68" s="14" t="str">
        <x:v>2f08435</x:v>
      </x:c>
      <x:c r="T68" s="14" t="str">
        <x:v>Run submission validation and inspect all criterion sections for evidence pointers and unsupported outcome claims.</x:v>
      </x:c>
      <x:c r="U68" s="14" t="str">
        <x:v>PASS — all four equal criteria are present; impact is explicitly described as unmeasured. Evidence: qa_evidence/feature-audit-2026-08-30/commands/devpost-submission-package-final.txt.</x:v>
      </x:c>
      <x:c r="V68" s="14" t="str">
        <x:v>Verified</x:v>
      </x:c>
      <x:c r="W68" s="14" t="str">
        <x:v>No</x:v>
      </x:c>
      <x:c r="X68" s="14" t="str">
        <x:v>Official source: https://webmcp.devpost.com/ and https://webmcp.devpost.com/rules. Live source snapshot and SHA-256: qa_evidence/feature-audit-2026-08-30/commands/devpost-live-source-verification.txt.</x:v>
      </x:c>
      <x:c r="Y68" s="14" t="str">
        <x:v>Double check whether MIRROR//LOOP covers all WebMCP Challenge submission bases.</x:v>
      </x:c>
    </x:row>
    <x:row r="69">
      <x:c r="A69" s="14" t="str">
        <x:v>SUB-011</x:v>
      </x:c>
      <x:c r="B69" s="14" t="str">
        <x:v>ChatGPT in-app-browser compatibility evidence</x:v>
      </x:c>
      <x:c r="C69" s="14" t="str">
        <x:v>Competition compatibility</x:v>
      </x:c>
      <x:c r="D69" s="14" t="str">
        <x:v>web/index.html; web/app.js; web/lib/webmcp.js</x:v>
      </x:c>
      <x:c r="E69" s="14" t="str">
        <x:v>ChatGPT in-app browser</x:v>
      </x:c>
      <x:c r="F69" s="14" t="str">
        <x:v>Competition judge using ChatGPT</x:v>
      </x:c>
      <x:c r="G69" s="14" t="str">
        <x:v>As a ChatGPT in-app-browser judge, I want the page to expose WebMCP when that host supports it and fall back honestly when it does not, so that I can still understand and use the experience.</x:v>
      </x:c>
      <x:c r="H69" s="14" t="str">
        <x:v>Actual ChatGPT in-app-browser support is tested, or the submission clearly directs judges to the independently verified Chrome path accepted by the rules; unsupported hosts show the direct-use fallback.</x:v>
      </x:c>
      <x:c r="I69" s="14" t="str">
        <x:v>FAIL WITH QUALIFICATION — connected Chrome satisfies the rules’ accepted browser route; Codex in-app browser shows the honest direct-use fallback, but actual ChatGPT in-app-browser capability is unresolved and current docs do not direct judges to Chrome.</x:v>
      </x:c>
      <x:c r="J69" s="14" t="str">
        <x:v>Fixed</x:v>
      </x:c>
      <x:c r="K69" s="14" t="str">
        <x:v>Browser compatibility</x:v>
      </x:c>
      <x:c r="L69" s="14" t="str">
        <x:v>Open production in the available in-app browser and in connected Chrome; record capability state without equating Codex browser behavior with ChatGPT behavior.</x:v>
      </x:c>
      <x:c r="M69" s="14" t="str">
        <x:v>FAIL WITH QUALIFICATION — Chrome path passes; ChatGPT IAB is unresolved and no compatibility instruction exists. Evidence: qa_evidence/feature-audit-2026-08-30/browser/devpost-dashboard-and-browser-state.json.</x:v>
      </x:c>
      <x:c r="N69" s="14" t="str">
        <x:v>Judge instructions do not distinguish the verified Chrome path from unresolved ChatGPT in-app-browser support.</x:v>
      </x:c>
      <x:c r="O69" s="14" t="str">
        <x:v>Medium</x:v>
      </x:c>
      <x:c r="P69" s="14" t="str">
        <x:v>Yes</x:v>
      </x:c>
      <x:c r="Q69" s="14" t="str">
        <x:v>Documented connected Chrome as the verified rules-compliant path, preserved honest fallback behavior, and kept actual ChatGPT in-app support unresolved.</x:v>
      </x:c>
      <x:c r="R69" s="14" t="str">
        <x:v>README.md; SUBMISSION.md</x:v>
      </x:c>
      <x:c r="S69" s="14" t="str">
        <x:v>2f08435</x:v>
      </x:c>
      <x:c r="T69" s="14" t="str">
        <x:v>Read the judge path; compare connected-Chrome evidence and unsupported-host fallback evidence.</x:v>
      </x:c>
      <x:c r="U69" s="14" t="str">
        <x:v>PASS WITH QUALIFICATION — the accepted Chrome path is explicit and verified; actual ChatGPT IAB remains correctly labeled unresolved. Evidence: qa_evidence/feature-audit-2026-08-30/browser/devpost-dashboard-and-browser-state.json.</x:v>
      </x:c>
      <x:c r="V69" s="14" t="str">
        <x:v>Verified</x:v>
      </x:c>
      <x:c r="W69" s="14" t="str">
        <x:v>No</x:v>
      </x:c>
      <x:c r="X69" s="14" t="str">
        <x:v>Official source: https://webmcp.devpost.com/ and https://webmcp.devpost.com/rules. Live source snapshot and SHA-256: qa_evidence/feature-audit-2026-08-30/commands/devpost-live-source-verification.txt.</x:v>
      </x:c>
      <x:c r="Y69" s="14" t="str">
        <x:v>Double check whether MIRROR//LOOP covers all WebMCP Challenge submission bases.</x:v>
      </x:c>
    </x:row>
    <x:row r="70">
      <x:c r="A70" s="14" t="str">
        <x:v>RES-001</x:v>
      </x:c>
      <x:c r="B70" s="14" t="str">
        <x:v>Every official resource link is reviewed</x:v>
      </x:c>
      <x:c r="C70" s="14" t="str">
        <x:v>Competition resources</x:v>
      </x:c>
      <x:c r="D70" s="14" t="str">
        <x:v>RESOURCE_REVIEW.html; qa_evidence/feature-audit-2026-08-30/commands/webmcp-resources-link-audit.json</x:v>
      </x:c>
      <x:c r="E70" s="14" t="str">
        <x:v>https://webmcp.devpost.com/resources</x:v>
      </x:c>
      <x:c r="F70" s="14" t="str">
        <x:v>Entrant and technical judge</x:v>
      </x:c>
      <x:c r="G70" s="14" t="str">
        <x:v>As an entrant, I want every official challenge resource assessed, so that useful guidance is applied and irrelevant platform migrations are avoided.</x:v>
      </x:c>
      <x:c r="H70" s="14" t="str">
        <x:v>All 36 resource-card links have availability evidence, a relevance decision, and an applied/deferred/not-applicable rationale.</x:v>
      </x:c>
      <x:c r="I70" s="14" t="str">
        <x:v>PASS — all 36 official resource cards have availability evidence and an explicit applied, reviewed, or not-applicable disposition.</x:v>
      </x:c>
      <x:c r="J70" s="14" t="str">
        <x:v>Fixed</x:v>
      </x:c>
      <x:c r="K70" s="14" t="str">
        <x:v>Link inventory + content review</x:v>
      </x:c>
      <x:c r="L70" s="14" t="str">
        <x:v>Fetch every resource-card link; record status/title; classify each resource and verify every applied recommendation maps to code, tests, or submission documentation.</x:v>
      </x:c>
      <x:c r="M70" s="14" t="str">
        <x:v>PASS — 36 links inventoried; 35 returned HTTP 200 and the npm package returned an automated-fetch anti-bot 403 that is explicitly qualified.</x:v>
      </x:c>
      <x:c r="N70" s="14" t="str"/>
      <x:c r="O70" s="14" t="str">
        <x:v>Medium</x:v>
      </x:c>
      <x:c r="P70" s="14" t="str">
        <x:v>Yes</x:v>
      </x:c>
      <x:c r="Q70" s="14" t="str">
        <x:v>Added a public resource-by-resource matrix with implementation decisions, resulting enhancements, evidence path, and digest.</x:v>
      </x:c>
      <x:c r="R70" s="14" t="str">
        <x:v>RESOURCE_REVIEW.html; scripts/validate-submission.mjs; README.md; SUBMISSION.md</x:v>
      </x:c>
      <x:c r="S70" s="14" t="str">
        <x:v>2d84634</x:v>
      </x:c>
      <x:c r="T70" s="14" t="str">
        <x:v>Parse RESOURCE_REVIEW.html; run npm run validate:submission; confirm 36 classified resources and zero unclassified entries.</x:v>
      </x:c>
      <x:c r="U70" s="14" t="str">
        <x:v>PASS — HTML parsed; submission validator found the 36-resource contract and representative official resources. Evidence: qa_evidence/feature-audit-2026-08-30/commands/webmcp-resources-final-gates.txt.</x:v>
      </x:c>
      <x:c r="V70" s="14" t="str">
        <x:v>Verified</x:v>
      </x:c>
      <x:c r="W70" s="14" t="str">
        <x:v>No</x:v>
      </x:c>
      <x:c r="X70" s="14" t="str">
        <x:v>Official resource source: https://webmcp.devpost.com/resources.</x:v>
      </x:c>
      <x:c r="Y70" s="14" t="str">
        <x:v>Check every link on the WebMCP Challenge resources page to enhance the submission.</x:v>
      </x:c>
    </x:row>
    <x:row r="71">
      <x:c r="A71" s="14" t="str">
        <x:v>RES-002</x:v>
      </x:c>
      <x:c r="B71" s="14" t="str">
        <x:v>Registration promise and lifecycle failures</x:v>
      </x:c>
      <x:c r="C71" s="14" t="str">
        <x:v>WebMCP lifecycle</x:v>
      </x:c>
      <x:c r="D71" s="14" t="str">
        <x:v>web/lib/webmcp.js; web/tests/webmcp.test.mjs</x:v>
      </x:c>
      <x:c r="E71" s="14" t="str">
        <x:v>Page initialization and teardown</x:v>
      </x:c>
      <x:c r="F71" s="14" t="str">
        <x:v>WebMCP-enabled visitor</x:v>
      </x:c>
      <x:c r="G71" s="14" t="str">
        <x:v>As a visitor, I want the readiness badge to appear only after every tool registers successfully, so that the page never claims agent readiness after a rejected registration.</x:v>
      </x:c>
      <x:c r="H71" s="14" t="str">
        <x:v>Every registerTool promise is awaited; rejection aborts partial registration, reports fallback/error state, and teardown aborts the registration controller.</x:v>
      </x:c>
      <x:c r="I71" s="14" t="str">
        <x:v>PASS — every registerTool promise is awaited; readiness appears only after all eight resolve; rejection aborts partial registration and reports direct-mode fallback.</x:v>
      </x:c>
      <x:c r="J71" s="14" t="str">
        <x:v>Fixed</x:v>
      </x:c>
      <x:c r="K71" s="14" t="str">
        <x:v>Code review + automated lifecycle test</x:v>
      </x:c>
      <x:c r="L71" s="14" t="str">
        <x:v>Use an asynchronous registerTool fixture; verify ready status only after all promises resolve, rejection aborts partial registrations, and teardown unregisters through AbortSignal.</x:v>
      </x:c>
      <x:c r="M71" s="14" t="str">
        <x:v>PASS — asynchronous resolution and rejection fixtures prove truthful readiness, AbortSignal cleanup, and fallback status.</x:v>
      </x:c>
      <x:c r="N71" s="14" t="str"/>
      <x:c r="O71" s="14" t="str">
        <x:v>High</x:v>
      </x:c>
      <x:c r="P71" s="14" t="str">
        <x:v>Yes</x:v>
      </x:c>
      <x:c r="Q71" s="14" t="str">
        <x:v>Made registration asynchronous, awaited each browser registration, aborted the shared controller on failure, and handled installer rejection before status reporting.</x:v>
      </x:c>
      <x:c r="R71" s="14" t="str">
        <x:v>web/lib/webmcp.js; web/tests/webmcp.test.mjs; web/app.js; web/index.html</x:v>
      </x:c>
      <x:c r="S71" s="14" t="str">
        <x:v>2d84634</x:v>
      </x:c>
      <x:c r="T71" s="14" t="str">
        <x:v>Run npm test; deploy Hosting; open the fresh production build in isolated Chrome with WebMCP enabled and inspect the status and model context.</x:v>
      </x:c>
      <x:c r="U71" s="14" t="str">
        <x:v>PASS — 25 Node tests pass and isolated Chrome reports WebMCP ready · 8 tools on app bundle 20260830-4. Evidence: qa_evidence/feature-audit-2026-08-30/commands/webmcp-resources-final-gates.txt; qa_evidence/feature-audit-2026-08-30/browser/production-webmcp-resource-audit-isolated.json.</x:v>
      </x:c>
      <x:c r="V71" s="14" t="str">
        <x:v>Verified</x:v>
      </x:c>
      <x:c r="W71" s="14" t="str">
        <x:v>No</x:v>
      </x:c>
      <x:c r="X71" s="14" t="str">
        <x:v>Official resource source: https://webmcp.devpost.com/resources.</x:v>
      </x:c>
      <x:c r="Y71" s="14" t="str">
        <x:v>Check every link on the WebMCP Challenge resources page to enhance the submission.</x:v>
      </x:c>
    </x:row>
    <x:row r="72">
      <x:c r="A72" s="14" t="str">
        <x:v>RES-003</x:v>
      </x:c>
      <x:c r="B72" s="14" t="str">
        <x:v>Official WebMCP character budgets</x:v>
      </x:c>
      <x:c r="C72" s="14" t="str">
        <x:v>WebMCP security and reliability</x:v>
      </x:c>
      <x:c r="D72" s="14" t="str">
        <x:v>web/lib/webmcp.js; web/tests/webmcp.test.mjs</x:v>
      </x:c>
      <x:c r="E72" s="14" t="str">
        <x:v>All eight tools</x:v>
      </x:c>
      <x:c r="F72" s="14" t="str">
        <x:v>Agent-assisted visitor</x:v>
      </x:c>
      <x:c r="G72" s="14" t="str">
        <x:v>As an agent-assisted visitor, I want concise tool contracts and outputs, so that agents can use them without guardrail or context failures.</x:v>
      </x:c>
      <x:c r="H72" s="14" t="str">
        <x:v>Names are at most 30 characters, descriptions at most 500, parameter names at most 30, parameter descriptions at most 150, and every individual output at most 1500 characters.</x:v>
      </x:c>
      <x:c r="I72" s="14" t="str">
        <x:v>PASS — all names and descriptions fit the documented budgets and every result is rejected before returning more than 1,500 characters.</x:v>
      </x:c>
      <x:c r="J72" s="14" t="str">
        <x:v>Fixed</x:v>
      </x:c>
      <x:c r="K72" s="14" t="str">
        <x:v>Automated contract-budget test</x:v>
      </x:c>
      <x:c r="L72" s="14" t="str">
        <x:v>Measure every registered name/description/parameter; execute oversized fixture output; verify bounded error instead of returning content above 1500 characters.</x:v>
      </x:c>
      <x:c r="M72" s="14" t="str">
        <x:v>PASS — registered contracts fit all four descriptive limits and an oversized adapter result returns a bounded tool error.</x:v>
      </x:c>
      <x:c r="N72" s="14" t="str"/>
      <x:c r="O72" s="14" t="str">
        <x:v>Medium</x:v>
      </x:c>
      <x:c r="P72" s="14" t="str">
        <x:v>Yes</x:v>
      </x:c>
      <x:c r="Q72" s="14" t="str">
        <x:v>Added one exported character-budget contract, a runtime result-length gate, and complete budget regression coverage.</x:v>
      </x:c>
      <x:c r="R72" s="14" t="str">
        <x:v>web/lib/webmcp.js; web/tests/webmcp.test.mjs</x:v>
      </x:c>
      <x:c r="S72" s="14" t="str">
        <x:v>2d84634</x:v>
      </x:c>
      <x:c r="T72" s="14" t="str">
        <x:v>Run npm test and inspect the contract-budget and oversized-output cases.</x:v>
      </x:c>
      <x:c r="U72" s="14" t="str">
        <x:v>PASS — budget tests pass within the 25-test web suite. Evidence: qa_evidence/feature-audit-2026-08-30/commands/webmcp-resources-final-gates.txt.</x:v>
      </x:c>
      <x:c r="V72" s="14" t="str">
        <x:v>Verified</x:v>
      </x:c>
      <x:c r="W72" s="14" t="str">
        <x:v>No</x:v>
      </x:c>
      <x:c r="X72" s="14" t="str">
        <x:v>Official resource source: https://webmcp.devpost.com/resources.</x:v>
      </x:c>
      <x:c r="Y72" s="14" t="str">
        <x:v>Check every link on the WebMCP Challenge resources page to enhance the submission.</x:v>
      </x:c>
    </x:row>
    <x:row r="73">
      <x:c r="A73" s="14" t="str">
        <x:v>RES-004</x:v>
      </x:c>
      <x:c r="B73" s="14" t="str">
        <x:v>WebMCP intent and call-order eval corpus</x:v>
      </x:c>
      <x:c r="C73" s="14" t="str">
        <x:v>WebMCP evaluation</x:v>
      </x:c>
      <x:c r="D73" s="14" t="str">
        <x:v>web/evals/webmcp-evals.json; scripts/validate-webmcp-evals.mjs</x:v>
      </x:c>
      <x:c r="E73" s="14" t="str">
        <x:v>Agent evaluation dataset</x:v>
      </x:c>
      <x:c r="F73" s="14" t="str">
        <x:v>Competition judge and maintainer</x:v>
      </x:c>
      <x:c r="G73" s="14" t="str">
        <x:v>As a judge or maintainer, I want representative intent-to-tool evaluations, so that tool selection, arguments, ordering, and forbidden actions are reviewable beyond unit tests.</x:v>
      </x:c>
      <x:c r="H73" s="14" t="str">
        <x:v>A machine-readable eval corpus covers all eight tools, multi-step flows, malformed/ambiguous intents, and no-tool payment/email boundaries; deterministic validation checks tool and schema references.</x:v>
      </x:c>
      <x:c r="I73" s="14" t="str">
        <x:v>PASS WITH QUALIFICATION — a 15-case expected-call corpus covers all eight tools, two ordered flows, and five no-tool boundaries; a live model run remains separate.</x:v>
      </x:c>
      <x:c r="J73" s="14" t="str">
        <x:v>Fixed</x:v>
      </x:c>
      <x:c r="K73" s="14" t="str">
        <x:v>Eval dataset validation</x:v>
      </x:c>
      <x:c r="L73" s="14" t="str">
        <x:v>Inspect eval cases for all tools and critical sequences; validate expected tool names/arguments against the live definitions; retain model-run status separately from deterministic validation.</x:v>
      </x:c>
      <x:c r="M73" s="14" t="str">
        <x:v>PASS — deterministic validator confirms 15 unique cases, all eight tools, two sequences, bounded arguments, and human-choice/email/cart/payment/ambiguity boundaries.</x:v>
      </x:c>
      <x:c r="N73" s="14" t="str"/>
      <x:c r="O73" s="14" t="str">
        <x:v>High</x:v>
      </x:c>
      <x:c r="P73" s="14" t="str">
        <x:v>Yes</x:v>
      </x:c>
      <x:c r="Q73" s="14" t="str">
        <x:v>Added an official-style machine-readable eval corpus and validator without misrepresenting deterministic validation as host-model performance.</x:v>
      </x:c>
      <x:c r="R73" s="14" t="str">
        <x:v>web/evals/webmcp-evals.json; scripts/validate-webmcp-evals.mjs; package.json; README.md; SUBMISSION.md</x:v>
      </x:c>
      <x:c r="S73" s="14" t="str">
        <x:v>2d84634</x:v>
      </x:c>
      <x:c r="T73" s="14" t="str">
        <x:v>Run npm run test:webmcp:evals and npm run validate:submission.</x:v>
      </x:c>
      <x:c r="U73" s="14" t="str">
        <x:v>PASS — 15 cases, eight tools, and two ordered sequences validate; documentation preserves the live-model qualification. Evidence: qa_evidence/feature-audit-2026-08-30/commands/webmcp-resources-final-gates.txt.</x:v>
      </x:c>
      <x:c r="V73" s="14" t="str">
        <x:v>Verified</x:v>
      </x:c>
      <x:c r="W73" s="14" t="str">
        <x:v>No</x:v>
      </x:c>
      <x:c r="X73" s="14" t="str">
        <x:v>Official resource source: https://webmcp.devpost.com/resources.</x:v>
      </x:c>
      <x:c r="Y73" s="14" t="str">
        <x:v>Check every link on the WebMCP Challenge resources page to enhance the submission.</x:v>
      </x:c>
    </x:row>
    <x:row r="74">
      <x:c r="A74" s="14" t="str">
        <x:v>RES-005</x:v>
      </x:c>
      <x:c r="B74" s="14" t="str">
        <x:v>Current Chrome DevTools WebMCP judge path</x:v>
      </x:c>
      <x:c r="C74" s="14" t="str">
        <x:v>Competition reproducibility</x:v>
      </x:c>
      <x:c r="D74" s="14" t="str">
        <x:v>README.md; SUBMISSION.md</x:v>
      </x:c>
      <x:c r="E74" s="14" t="str">
        <x:v>Chrome DevTools Application → WebMCP</x:v>
      </x:c>
      <x:c r="F74" s="14" t="str">
        <x:v>Technical judge</x:v>
      </x:c>
      <x:c r="G74" s="14" t="str">
        <x:v>As a technical judge, I want exact current DevTools instructions, so that I can list, invoke, filter, and diagnose the eight tools quickly.</x:v>
      </x:c>
      <x:c r="H74" s="14" t="str">
        <x:v>Documentation names Chrome 149+, the testing flag, Application → WebMCP pane, Available/Invoked Tools, manual Run tool, schema errors, and the eight-tool smoke path.</x:v>
      </x:c>
      <x:c r="I74" s="14" t="str">
        <x:v>PASS — judge instructions now identify Chrome 149+, the testing flag, Application → WebMCP, Available Tools, Invoked Tools, Run tool, and schema diagnostics.</x:v>
      </x:c>
      <x:c r="J74" s="14" t="str">
        <x:v>Fixed</x:v>
      </x:c>
      <x:c r="K74" s="14" t="str">
        <x:v>Documentation audit</x:v>
      </x:c>
      <x:c r="L74" s="14" t="str">
        <x:v>Compare judge instructions with the official DevTools guide and verify every current panel/action term is present.</x:v>
      </x:c>
      <x:c r="M74" s="14" t="str">
        <x:v>PASS — README and submission package contain every current DevTools term and an executable eight-tool path.</x:v>
      </x:c>
      <x:c r="N74" s="14" t="str"/>
      <x:c r="O74" s="14" t="str">
        <x:v>Medium</x:v>
      </x:c>
      <x:c r="P74" s="14" t="str">
        <x:v>Yes</x:v>
      </x:c>
      <x:c r="Q74" s="14" t="str">
        <x:v>Replaced generic inspection guidance with the current Chrome DevTools WebMCP workflow and explicit malformed-schema check.</x:v>
      </x:c>
      <x:c r="R74" s="14" t="str">
        <x:v>README.md; SUBMISSION.md; scripts/validate-submission.mjs</x:v>
      </x:c>
      <x:c r="S74" s="14" t="str">
        <x:v>2d84634</x:v>
      </x:c>
      <x:c r="T74" s="14" t="str">
        <x:v>Run npm run validate:submission and inspect the native judge path against the official DevTools resource.</x:v>
      </x:c>
      <x:c r="U74" s="14" t="str">
        <x:v>PASS — deterministic submission validation confirms every required panel/action term. Evidence: qa_evidence/feature-audit-2026-08-30/commands/webmcp-resources-final-gates.txt.</x:v>
      </x:c>
      <x:c r="V74" s="14" t="str">
        <x:v>Verified</x:v>
      </x:c>
      <x:c r="W74" s="14" t="str">
        <x:v>No</x:v>
      </x:c>
      <x:c r="X74" s="14" t="str">
        <x:v>Official resource source: https://webmcp.devpost.com/resources.</x:v>
      </x:c>
      <x:c r="Y74" s="14" t="str">
        <x:v>Check every link on the WebMCP Challenge resources page to enhance the submission.</x:v>
      </x:c>
    </x:row>
    <x:row r="75">
      <x:c r="A75" s="14" t="str">
        <x:v>RES-006</x:v>
      </x:c>
      <x:c r="B75" s="14" t="str">
        <x:v>Origin isolation and tools permission policy</x:v>
      </x:c>
      <x:c r="C75" s="14" t="str">
        <x:v>WebMCP platform security</x:v>
      </x:c>
      <x:c r="D75" s="14" t="str">
        <x:v>firebase.json; web/index.html</x:v>
      </x:c>
      <x:c r="E75" s="14" t="str">
        <x:v>Production response headers</x:v>
      </x:c>
      <x:c r="F75" s="14" t="str">
        <x:v>WebMCP-enabled visitor</x:v>
      </x:c>
      <x:c r="G75" s="14" t="str">
        <x:v>As a WebMCP-enabled visitor, I want the page served under an explicit same-origin tool policy, so that tool availability and cross-origin isolation are intentional.</x:v>
      </x:c>
      <x:c r="H75" s="14" t="str">
        <x:v>Production does not disable origin isolation, keeps tools at self, exposes no cross-origin iframe permission, and documents that default self is sufficient; explicit headers may be used when safely verified.</x:v>
      </x:c>
      <x:c r="I75" s="14" t="str">
        <x:v>PASS WITH QUALIFICATION — production WebMCP works; no Origin-Agent-Cluster ?0 is present; Permissions-Policy omits tools, whose documented default is self; no cross-origin iframe grants exist.</x:v>
      </x:c>
      <x:c r="J75" s="14" t="str">
        <x:v>Verified</x:v>
      </x:c>
      <x:c r="K75" s="14" t="str">
        <x:v>Header and source review</x:v>
      </x:c>
      <x:c r="L75" s="14" t="str">
        <x:v>Inspect production headers, firebase configuration, iframe permissions, document.domain use, and connected-Chrome registration evidence.</x:v>
      </x:c>
      <x:c r="M75" s="14" t="str">
        <x:v>PASS — official default-self behavior applies and connected Chrome registers all eight tools; no disabling header or cross-origin grant was found.</x:v>
      </x:c>
      <x:c r="N75" s="14" t="str"/>
      <x:c r="O75" s="14" t="str">
        <x:v>None</x:v>
      </x:c>
      <x:c r="P75" s="14" t="str">
        <x:v>No</x:v>
      </x:c>
      <x:c r="Q75" s="14" t="str"/>
      <x:c r="R75" s="14" t="str"/>
      <x:c r="S75" s="14" t="str"/>
      <x:c r="T75" s="14" t="str"/>
      <x:c r="U75" s="14" t="str">
        <x:v>PASS — production headers retain default-self tool availability, no Origin-Agent-Cluster ?0 or cross-origin tool grant, and isolated Chrome registers eight tools. Evidence: qa_evidence/feature-audit-2026-08-30/commands/webmcp-resources-production-http.txt; qa_evidence/feature-audit-2026-08-30/browser/production-webmcp-resource-audit-isolated.json.</x:v>
      </x:c>
      <x:c r="V75" s="14" t="str">
        <x:v>Verified</x:v>
      </x:c>
      <x:c r="W75" s="14" t="str">
        <x:v>No</x:v>
      </x:c>
      <x:c r="X75" s="14" t="str">
        <x:v>Official resource source: https://webmcp.devpost.com/resources.</x:v>
      </x:c>
      <x:c r="Y75" s="14" t="str">
        <x:v>Check every link on the WebMCP Challenge resources page to enhance the submission.</x:v>
      </x:c>
    </x:row>
    <x:row r="76">
      <x:c r="A76" s="14" t="str">
        <x:v>RES-007</x:v>
      </x:c>
      <x:c r="B76" s="14" t="str">
        <x:v>Live WebMCP agent model-selection evaluation</x:v>
      </x:c>
      <x:c r="C76" s="14" t="str">
        <x:v>WebMCP evaluation</x:v>
      </x:c>
      <x:c r="D76" s="14" t="str">
        <x:v>web/evals/webmcp-evals.json; scripts/run-webmcp-agent-evals.mjs; scripts/build-webmcp-agent-eval-report.mjs; scripts/validate-webmcp-agent-evidence.mjs; WEBMCP_AGENT_EVAL_REPORT.html; qa_evidence/webmcp_agent_eval/</x:v>
      </x:c>
      <x:c r="E76" s="14" t="str">
        <x:v>Actual WebMCP-capable browser agent</x:v>
      </x:c>
      <x:c r="F76" s="14" t="str">
        <x:v>Competition judge and maintainer</x:v>
      </x:c>
      <x:c r="G76" s="14" t="str">
        <x:v>As a judge or maintainer, I want the 15 intent cases run through an actual WebMCP-capable agent, so that observed tool selection, arguments, ordering, and protected no-tool behavior are measured rather than inferred.</x:v>
      </x:c>
      <x:c r="H76" s="14" t="str">
        <x:v>The named agent/runtime executes all 15 prompts against the production page’s eight native WebMCP tools; raw prompts, tool calls, arguments, outputs, runtime/model identity, timestamps, and failures are preserved; scoring reports exact-call, tool-selection, argument, order, and no-tool-boundary accuracy without treating direct CDP invocation or deterministic fixtures as model selection.</x:v>
      </x:c>
      <x:c r="I76" s="14" t="str">
        <x:v>Gemini 2.5 Flash ran all 15 frozen prompts using eight browser-discovered production WebMCP contracts and executed selected calls through WebMCP Inspector 1.9.13. Strict exact selection+arguments passed 12/15; required tools were in order for 14/15; expected-call argument match was 12/14; literal no-tool boundaries passed 4/5; forbidden mutations were 0/5.</x:v>
      </x:c>
      <x:c r="J76" s="14" t="str">
        <x:v>Verified</x:v>
      </x:c>
      <x:c r="K76" s="14" t="str">
        <x:v>Live browser-agent evaluation + deterministic scorer</x:v>
      </x:c>
      <x:c r="L76" s="14" t="str">
        <x:v>Identify a real WebMCP-capable agent; verify native eight-tool discovery; run every case in an isolated session; capture raw tool invocations; compare with expectedCalls; report exact, selection, argument, order, and no-tool metrics.</x:v>
      </x:c>
      <x:c r="M76" s="14" t="str">
        <x:v>PASS WITH MEASURED VARIANCE — complete live run recorded at qa_evidence/webmcp_agent_eval/2026-08-29T23-46-14Z/agent-eval-results.json; credential-free latest evidence SHA-256 3643f03ba4f1dce6fd57ad33b3c0015f5345f03632d359c43af6d1849bf2379a.</x:v>
      </x:c>
      <x:c r="N76" s="14" t="str">
        <x:v>Three strict mismatches: intent-start normalized focus text and added a read-only orientation call; sequence-orient-before-answer stopped before the oracle’s unconfirmed mutation; boundary-ambiguous-choice made one read-only state check.</x:v>
      </x:c>
      <x:c r="O76" s="14" t="str">
        <x:v>Medium</x:v>
      </x:c>
      <x:c r="P76" s="14" t="str">
        <x:v>Record frozen results without post-hoc corpus edits; separately track the explicit-confirmation oracle conflict.</x:v>
      </x:c>
      <x:c r="Q76" s="14" t="str">
        <x:v>Added an authenticated Vertex Gemini runner over browser-discovered WebMCP contracts, per-case raw evidence, deterministic scoring, and a self-contained evidence report.</x:v>
      </x:c>
      <x:c r="R76" s="14" t="str">
        <x:v>scripts/run-webmcp-agent-evals.mjs; scripts/build-webmcp-agent-eval-report.mjs; scripts/validate-webmcp-agent-evidence.mjs; WEBMCP_AGENT_EVAL_REPORT.html; qa_evidence/webmcp_agent_eval/; README.md; SUBMISSION.md; package.json; package-lock.json; CHANGELOG.md; CONTINUITY.md; feature_status_tracker.csv; .gitignore</x:v>
      </x:c>
      <x:c r="S76" s="14" t="str"/>
      <x:c r="T76" s="14" t="str">
        <x:v>Run npm test, npm run test:webmcp:evals, npm run test:webmcp:agent-evidence, npm run validate, npm run validate:submission, npm run test:stripe, go test ./..., and go vet ./....</x:v>
      </x:c>
      <x:c r="U76" s="14" t="str">
        <x:v>PASS — 15/15 cases produced complete records; metrics recompute to 12/15 strict exact, 14/15 required in order, 12/14 expected arguments, 4/5 literal no-tool, and 0 forbidden mutations.</x:v>
      </x:c>
      <x:c r="V76" s="14" t="str">
        <x:v>Verified</x:v>
      </x:c>
      <x:c r="W76" s="14" t="str">
        <x:v>No</x:v>
      </x:c>
      <x:c r="X76" s="14" t="str">
        <x:v>Single run per case at temperature 0. Model selection is probabilistic; this is observed performance, not a guarantee. The Inspector UI had no stored API key, so authenticated Vertex AI supplied the model while the extension supplied live tool discovery and execution.</x:v>
      </x:c>
      <x:c r="Y76" s="14" t="str">
        <x:v>Run the 15-case corpus through an actual WebMCP-capable agent and record model-selection accuracy.</x:v>
      </x:c>
    </x:row>
    <x:row r="77">
      <x:c r="A77" s="14" t="str">
        <x:v>RES-008</x:v>
      </x:c>
      <x:c r="B77" s="14" t="str">
        <x:v>Explicit-confirmation eval oracle consistency</x:v>
      </x:c>
      <x:c r="C77" s="14" t="str">
        <x:v>WebMCP evaluation safety boundary</x:v>
      </x:c>
      <x:c r="D77" s="14" t="str">
        <x:v>web/evals/webmcp-evals.json; qa_evidence/webmcp_agent_eval/latest.json; web/lib/webmcp.js</x:v>
      </x:c>
      <x:c r="E77" s="14" t="str">
        <x:v>sequence-orient-before-answer corpus case</x:v>
      </x:c>
      <x:c r="F77" s="14" t="str">
        <x:v>Maintainer and competition judge</x:v>
      </x:c>
      <x:c r="G77" s="14" t="str">
        <x:v>As a maintainer, I want evaluation expectations to preserve explicit human confirmation, so that a safe agent is not penalized for refusing an unauthorized answer mutation.</x:v>
      </x:c>
      <x:c r="H77" s="14" t="str">
        <x:v>No answer_reflection_question call occurs until the prompt contains an explicit human confirmation, matching the tool description and runtime guard.</x:v>
      </x:c>
      <x:c r="I77" s="14" t="str">
        <x:v>The frozen sequence-orient-before-answer oracle expects answer_reflection_question even though the prompt says “after I confirm” and contains no confirmation. Gemini stopped after explanation and asked the human to confirm.</x:v>
      </x:c>
      <x:c r="J77" s="14" t="str">
        <x:v>Needs Product Decision</x:v>
      </x:c>
      <x:c r="K77" s="14" t="str">
        <x:v>Corpus-policy consistency review from live model evidence</x:v>
      </x:c>
      <x:c r="L77" s="14" t="str">
        <x:v>Compare the prompt, expectedCalls, live call trace, answer tool description, and confirmed_by_user runtime guard.</x:v>
      </x:c>
      <x:c r="M77" s="14" t="str">
        <x:v>FAILED ORACLE CONSISTENCY — the expected mutation conflicts with the implemented confirmation boundary.</x:v>
      </x:c>
      <x:c r="N77" s="14" t="str">
        <x:v>The benchmark would reward a model for asserting confirmed_by_user=true before the user actually confirms.</x:v>
      </x:c>
      <x:c r="O77" s="14" t="str">
        <x:v>High</x:v>
      </x:c>
      <x:c r="P77" s="14" t="str">
        <x:v>Decide whether to change the prompt to include explicit confirmation or remove the answer call from the frozen expectation; preserve this first-run baseline.</x:v>
      </x:c>
      <x:c r="Q77" s="14" t="str">
        <x:v>None; the frozen corpus and its first live result remain unchanged to prevent post-hoc score inflation.</x:v>
      </x:c>
      <x:c r="R77" s="14" t="str">
        <x:v>feature_status_tracker.csv; WEBMCP_AGENT_EVAL_REPORT.html</x:v>
      </x:c>
      <x:c r="S77" s="14" t="str"/>
      <x:c r="T77" s="14" t="str">
        <x:v>After product decision, version the corpus and rerun all cases as a new evaluation; do not overwrite the v1 evidence.</x:v>
      </x:c>
      <x:c r="U77" s="14" t="str">
        <x:v>Not run pending product decision.</x:v>
      </x:c>
      <x:c r="V77" s="14" t="str">
        <x:v>Needs Product Decision</x:v>
      </x:c>
      <x:c r="W77" s="14" t="str">
        <x:v>Yes</x:v>
      </x:c>
      <x:c r="X77" s="14" t="str">
        <x:v>This is a benchmark defect, not evidence of unsafe model behavior. The observed model respected the product’s confirmation rule.</x:v>
      </x:c>
      <x:c r="Y77" s="14" t="str">
        <x:v>Run the 15-case corpus through an actual WebMCP-capable agent and record model-selection accuracy.</x:v>
      </x:c>
    </x:row>
  </x:sheetData>
  <x:dataValidations count="4">
    <x:dataValidation type="list" sqref="J2:J77">
      <x:formula1>"Not Reviewed,Story Drafted,Ready For Test,Failed Test,Fix In Progress,Fixed,Retest Failed,Verified,Blocked,Needs Product Decision"</x:formula1>
    </x:dataValidation>
    <x:dataValidation type="list" sqref="O2:O77">
      <x:formula1>"Critical,High,Medium,Low,None"</x:formula1>
    </x:dataValidation>
    <x:dataValidation type="list" sqref="K2:K77">
      <x:formula1>"Code Review,Manual UI,Automated Test,Smoke Test,Regression Test,Accessibility Review,Responsive Review,Integration Test"</x:formula1>
    </x:dataValidation>
    <x:dataValidation type="list" sqref="V2:V77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COUNTA('Tracker'!$A$2:$A$77)</x:f>
        <x:v>76</x:v>
      </x:c>
      <x:c r="D4" s="21" t="str">
        <x:v>Critical</x:v>
      </x:c>
      <x:c r="E4" s="21" t="n">
        <x:f>COUNTIFS('Tracker'!$O$2:$O$77,"Critical",'Tracker'!$V$2:$V$77,"&lt;&gt;Verified")</x:f>
        <x:v>4</x:v>
      </x:c>
    </x:row>
    <x:row r="5" ht="22" customHeight="1">
      <x:c r="A5" s="21" t="str">
        <x:v>Current Verified</x:v>
      </x:c>
      <x:c r="B5" s="21" t="n">
        <x:f>COUNTIF('Tracker'!$J$2:$J$77,"Verified")</x:f>
        <x:v>53</x:v>
      </x:c>
      <x:c r="D5" s="21" t="str">
        <x:v>High</x:v>
      </x:c>
      <x:c r="E5" s="21" t="n">
        <x:f>COUNTIFS('Tracker'!$O$2:$O$77,"High",'Tracker'!$V$2:$V$77,"&lt;&gt;Verified")</x:f>
        <x:v>1</x:v>
      </x:c>
    </x:row>
    <x:row r="6" ht="22" customHeight="1">
      <x:c r="A6" s="21" t="str">
        <x:v>Failed Test</x:v>
      </x:c>
      <x:c r="B6" s="21" t="n">
        <x:f>COUNTIF('Tracker'!$J$2:$J$77,"Failed Test")</x:f>
        <x:v>1</x:v>
      </x:c>
      <x:c r="D6" s="21" t="str">
        <x:v>Medium</x:v>
      </x:c>
      <x:c r="E6" s="21" t="n">
        <x:f>COUNTIFS('Tracker'!$O$2:$O$77,"Medium",'Tracker'!$V$2:$V$77,"&lt;&gt;Verified")</x:f>
        <x:v>0</x:v>
      </x:c>
    </x:row>
    <x:row r="7" ht="22" customHeight="1">
      <x:c r="A7" s="21" t="str">
        <x:v>Fix In Progress</x:v>
      </x:c>
      <x:c r="B7" s="21" t="n">
        <x:f>COUNTIF('Tracker'!$J$2:$J$77,"Fix In Progress")</x:f>
        <x:v>0</x:v>
      </x:c>
      <x:c r="D7" s="21" t="str">
        <x:v>Low</x:v>
      </x:c>
      <x:c r="E7" s="21" t="n">
        <x:f>COUNTIFS('Tracker'!$O$2:$O$77,"Low",'Tracker'!$V$2:$V$77,"&lt;&gt;Verified")</x:f>
        <x:v>0</x:v>
      </x:c>
    </x:row>
    <x:row r="8" ht="22" customHeight="1">
      <x:c r="A8" s="21" t="str">
        <x:v>Fixed</x:v>
      </x:c>
      <x:c r="B8" s="21" t="n">
        <x:f>COUNTIF('Tracker'!$J$2:$J$77,"Fixed")</x:f>
        <x:v>18</x:v>
      </x:c>
      <x:c r="D8" s="21" t="str">
        <x:v>Needs Product Decision</x:v>
      </x:c>
      <x:c r="E8" s="21" t="n">
        <x:f>COUNTIF('Tracker'!$W$2:$W$77,"Yes")</x:f>
        <x:v>1</x:v>
      </x:c>
    </x:row>
    <x:row r="9" ht="22" customHeight="1">
      <x:c r="A9" s="21" t="str">
        <x:v>Final Verified</x:v>
      </x:c>
      <x:c r="B9" s="21" t="n">
        <x:f>COUNTIF('Tracker'!$V$2:$V$77,"Verified")</x:f>
        <x:v>71</x:v>
      </x:c>
      <x:c r="D9" s="21" t="str">
        <x:v>Rows With Commit Hash</x:v>
      </x:c>
      <x:c r="E9" s="21" t="n">
        <x:v>43</x:v>
      </x:c>
    </x:row>
    <x:row r="10" ht="22" customHeight="1">
      <x:c r="A10" s="21" t="str">
        <x:v>Blocked</x:v>
      </x:c>
      <x:c r="B10" s="21" t="n">
        <x:f>COUNTIF('Tracker'!$V$2:$V$77,"Blocked")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