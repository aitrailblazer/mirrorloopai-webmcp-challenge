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4fd234d99441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82994be00dc34774"/>
    <x:sheet xmlns:r="http://schemas.openxmlformats.org/officeDocument/2006/relationships" name="Dashboard" sheetId="2" r:id="Rb86e0ac360834e51"/>
    <x:sheet xmlns:r="http://schemas.openxmlformats.org/officeDocument/2006/relationships" name="Lists" sheetId="3" r:id="Re5eead3874ae435b"/>
    <x:sheet xmlns:r="http://schemas.openxmlformats.org/officeDocument/2006/relationships" name="Instructions" sheetId="4" r:id="R88a62f5c79ce48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c701a3caee4eb7" /><Relationship Type="http://schemas.openxmlformats.org/officeDocument/2006/relationships/theme" Target="/xl/theme/theme1.xml" Id="Ra9ad8e19b10e4f6b" /><Relationship Type="http://schemas.openxmlformats.org/officeDocument/2006/relationships/sharedStrings" Target="/xl/sharedStrings.xml" Id="R3820de62bc314da7" /><Relationship Type="http://schemas.openxmlformats.org/officeDocument/2006/relationships/worksheet" Target="/xl/worksheets/sheet1.xml" Id="R82994be00dc34774" /><Relationship Type="http://schemas.openxmlformats.org/officeDocument/2006/relationships/worksheet" Target="/xl/worksheets/sheet2.xml" Id="Rb86e0ac360834e51" /><Relationship Type="http://schemas.openxmlformats.org/officeDocument/2006/relationships/worksheet" Target="/xl/worksheets/sheet3.xml" Id="Re5eead3874ae435b" /><Relationship Type="http://schemas.openxmlformats.org/officeDocument/2006/relationships/worksheet" Target="/xl/worksheets/sheet4.xml" Id="R88a62f5c79ce48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  <x:row r="80">
      <x:c r="A80" s="14" t="str">
        <x:v>RES-011</x:v>
      </x:c>
      <x:c r="B80" s="14" t="str">
        <x:v>Competition 10/10 strategy claim hardening</x:v>
      </x:c>
      <x:c r="C80" s="14" t="str">
        <x:v>Competition narrative, security, architecture, and demo</x:v>
      </x:c>
      <x:c r="D80" s="14" t="str">
        <x:v>web/lib/webmcp.js; web/app.js; web/data/shop.json; SUBMISSION.md; WEBMCP_COMPETITION_HARDENING_AUDIT.html</x:v>
      </x:c>
      <x:c r="E80" s="14" t="str">
        <x:v>Devpost narrative, three-minute demo, and public architecture claims</x:v>
      </x:c>
      <x:c r="F80" s="14" t="str">
        <x:v>Competition judge, technical reviewer, and entrant</x:v>
      </x:c>
      <x:c r="G80" s="14" t="str">
        <x:v>As a competition judge, I want ambitious claims separated from implemented evidence, so that I can reward real WebMCP leverage without being misled by fictional tools, benchmarks, products, or privacy guarantees.</x:v>
      </x:c>
      <x:c r="H80" s="14" t="str">
        <x:v>The submission uses the real eight-tool contract, existing local-state events, strict schemas, 12-answer completion gate, public card registry, digital catalog, and explicit human transaction boundary. Numeric judging scores are not self-awarded. Unsupported dial events, sub-millisecond LST, Tool 9, P2P zero-knowledge, physical decks, x402, historical game-theoretic authority, ray diagnostics, and autonomous settlement are rejected or clearly labeled future concepts.</x:v>
      </x:c>
      <x:c r="I80" s="14" t="str">
        <x:v>The proposed strategy is now reconciled against inspected code and preserved evidence. A self-contained claim ledger classifies unsupported scores, events, astronomy, Tool 9/P2P, physical fulfillment, x402, and symbolic-science authority; preserves the eight real tools, three UI events, strict schemas, completion gate, digital catalog, and human payment boundary; and provides a corrected 2:35 demo and Devpost core.</x:v>
      </x:c>
      <x:c r="J80" s="14" t="str">
        <x:v>Verified</x:v>
      </x:c>
      <x:c r="K80" s="14" t="str">
        <x:v>Claim-to-code audit + security boundary regression + submission/document validation</x:v>
      </x:c>
      <x:c r="L80" s="14" t="str">
        <x:v>Map every matrix, architecture, security, dyadic, commerce, framing, storyboard, Devpost, and checklist claim to inspected code/data/evidence; preserve supported controls; generate a claim-status audit and corrected storyboard/copy; validate absence of invented capabilities in publishable text; run full WebMCP, submission, site, Stripe, and Go regressions plus HTML/XML and responsive checks.</x:v>
      </x:c>
      <x:c r="M80" s="14" t="str">
        <x:v>PASS — claim validator and submission validator passed; 11 embedded XML claim decisions parsed; desktop 1440px and mobile 390px renders had no horizontal overflow; complete WebMCP evaluation, web, Stripe, site, submission, Go test, and Go vet regressions passed.</x:v>
      </x:c>
      <x:c r="N80" s="14" t="str">
        <x:v>Resolved — unsupported perfect-score and nonexistent-capability claims are classified, excluded from publishable copy, or explicitly deferred.</x:v>
      </x:c>
      <x:c r="O80" s="14" t="str">
        <x:v>Critical</x:v>
      </x:c>
      <x:c r="P80" s="14" t="str">
        <x:v>Yes — completed.</x:v>
      </x:c>
      <x:c r="Q80" s="14" t="str">
        <x:v>Added a generated StrategiX claim-hardening audit, machine-readable claim ledger, corrected judge evidence map, 2:35 storyboard, Devpost core, release-freeze decision, validator, submission gate, documentation links, and responsive evidence.</x:v>
      </x:c>
      <x:c r="R80" s="14" t="str">
        <x:v>WEBMCP_COMPETITION_HARDENING_AUDIT.html; scripts/build-webmcp-competition-hardening-audit.mjs; scripts/validate-webmcp-competition-hardening.mjs; scripts/validate-submission.mjs; package.json; README.md; SUBMISSION.md; CHANGELOG.md; qa_evidence/webmcp_competition_hardening/**</x:v>
      </x:c>
      <x:c r="S80" s="14" t="str">
        <x:v>ddabacf</x:v>
      </x:c>
      <x:c r="T80" s="14" t="str">
        <x:v>Run all four WebMCP corpus/claim validators, all three preserved live-evidence validators, npm test, npm run test:stripe, npm run validate, npm run validate:submission, go test ./..., go vet ./..., embedded XML parsing, and desktop/mobile overflow checks.</x:v>
      </x:c>
      <x:c r="U80" s="14" t="str">
        <x:v>PASS — 15-case, 10-case, and 6-case suites and evidence validators passed; 25/25 web tests and 1/1 Stripe test passed; site/submission/Go gates passed; XML contained 11 claim decisions; 1440px and 390px scroll widths equaled their viewports.</x:v>
      </x:c>
      <x:c r="V80" s="14" t="str">
        <x:v>Verified</x:v>
      </x:c>
      <x:c r="W80" s="14" t="str">
        <x:v>No</x:v>
      </x:c>
      <x:c r="X80" s="14" t="str">
        <x:v>Canonical artifact: WEBMCP_COMPETITION_HARDENING_AUDIT.html. Responsive evidence: qa_evidence/webmcp_competition_hardening/. No ninth tool, P2P exchange, astronomical engine, physical fulfillment, x402, or autonomous payment was added. External operator gates remain pending.</x:v>
      </x:c>
      <x:c r="Y80" s="14" t="str">
        <x:v>Achieve an unassailable 10/10 across every WebMCP Challenge judging dimension using the supplied master evaluation matrix, architecture, storyboard, Devpost copy, and execution checklist.</x:v>
      </x:c>
    </x:row>
    <x:row r="81">
      <x:c r="A81" s="14" t="str">
        <x:v>RES-012</x:v>
      </x:c>
      <x:c r="B81" s="14" t="str">
        <x:v>Evidence-bounded judge panel orientation</x:v>
      </x:c>
      <x:c r="C81" s="14" t="str">
        <x:v>Competition presentation</x:v>
      </x:c>
      <x:c r="D81" s="14" t="str">
        <x:v>SUBMISSION.md; WEBMCP_JUDGE_PANEL_BRIEF.html; scripts/build-webmcp-judge-panel-brief.mjs; scripts/validate-submission.mjs</x:v>
      </x:c>
      <x:c r="E81" s="14" t="str">
        <x:v>Devpost submission package and repository evidence brief</x:v>
      </x:c>
      <x:c r="F81" s="14" t="str">
        <x:v>WebMCP Challenge judge</x:v>
      </x:c>
      <x:c r="G81" s="14" t="str">
        <x:v>As a WebMCP Challenge judge, I want the submission evidence organized around the panel’s relevant engineering disciplines, so that I can verify the project quickly without relying on personal profiling or unsupported technical claims.</x:v>
      </x:c>
      <x:c r="H81" s="14" t="str">
        <x:v>The submission names the user-provided panel roster, organizes existing evidence under browser safety, WebMCP contracts, web performance, privacy boundaries, modern web delivery, and applied product value, labels role-based lenses as orientation rather than psychographic fact, and explicitly rejects undeployed astronomy, P2P, physical-product, zero-telemetry, bundle-size, and benchmark claims.</x:v>
      </x:c>
      <x:c r="I81" s="14" t="str">
        <x:v>PASS — the official challenge page confirms all seven names and titles; the new brief organizes six reproducible evidence paths while explicitly excluding unsupported personal and technical claims.</x:v>
      </x:c>
      <x:c r="J81" s="14" t="str">
        <x:v>Fixed</x:v>
      </x:c>
      <x:c r="K81" s="14" t="str">
        <x:v>Documentation claim audit + HTML/XML validation + submission regression</x:v>
      </x:c>
      <x:c r="L81" s="14" t="str">
        <x:v>Verify the panel roster against the official challenge surface where available; compare every proposed capability with source and preserved runtime evidence; parse the self-contained HTML and embedded XML; run submission, WebMCP, site, Stripe, and Go regression gates.</x:v>
      </x:c>
      <x:c r="M81" s="14" t="str">
        <x:v>PASS — official roster/source capture, claim-to-code baseline, generated HTML/XML contract, 1440 px and 390 px browser renders, and full regression evidence are preserved under qa_evidence/webmcp_judge_panel/.</x:v>
      </x:c>
      <x:c r="N81" s="14" t="str">
        <x:v>Resolved — judge orientation now relies on public roles and implemented evidence rather than alleged preferences or future capabilities.</x:v>
      </x:c>
      <x:c r="O81" s="14" t="str">
        <x:v>High</x:v>
      </x:c>
      <x:c r="P81" s="14" t="str">
        <x:v>Yes — completed.</x:v>
      </x:c>
      <x:c r="Q81" s="14" t="str">
        <x:v>Added a generated StrategiX judge-panel brief, official-source provenance, six role-oriented evidence paths, measured module sizes, an explicit exclusion ledger, deterministic validation, and submission-package links.</x:v>
      </x:c>
      <x:c r="R81" s="14" t="str">
        <x:v>WEBMCP_JUDGE_PANEL_BRIEF.html; scripts/build-webmcp-judge-panel-brief.mjs; scripts/validate-webmcp-judge-panel-brief.mjs; scripts/validate-submission.mjs; package.json; README.md; SUBMISSION.md; CHANGELOG.md; qa_evidence/webmcp_judge_panel/**; feature_status_tracker.csv</x:v>
      </x:c>
      <x:c r="S81" s="14" t="str">
        <x:v>7a91f15</x:v>
      </x:c>
      <x:c r="T81" s="14" t="str">
        <x:v>Run the judge-panel and submission validators, all WebMCP corpus/evidence validators, npm test, Stripe test, site validation, go test, go vet, embedded XML parsing, and desktop/mobile no-overflow checks.</x:v>
      </x:c>
      <x:c r="U81" s="14" t="str">
        <x:v>PASS — panel brief and submission validation passed; all 25 web tests and 1 Stripe test passed; all WebMCP corpus/evidence gates, site validation, Go tests, Go vet, XML parse, seven-row panel render, and responsive no-overflow checks passed.</x:v>
      </x:c>
      <x:c r="V81" s="14" t="str">
        <x:v>Verified</x:v>
      </x:c>
      <x:c r="W81" s="14" t="str">
        <x:v>No</x:v>
      </x:c>
      <x:c r="X81" s="14" t="str">
        <x:v>Official source capture: qa_evidence/webmcp_judge_panel/official-source.txt. Canonical brief: WEBMCP_JUDGE_PANEL_BRIEF.html. The artifact does not claim knowledge of judges’ private preferences or predict scores.</x:v>
      </x:c>
      <x:c r="Y81" s="14" t="str">
        <x:v>Tailor the MIRROR//LOOP WebMCP submission to the listed judging panel while preserving an evidence-bounded architecture and narrative.</x:v>
      </x:c>
    </x:row>
    <x:row r="82">
      <x:c r="A82" s="14" t="str">
        <x:v>RES-013</x:v>
      </x:c>
      <x:c r="B82" s="14" t="str">
        <x:v>Chrome motion and accessibility claim integrity</x:v>
      </x:c>
      <x:c r="C82" s="14" t="str">
        <x:v>Competition presentation and browser UX</x:v>
      </x:c>
      <x:c r="D82" s="14" t="str">
        <x:v>web/index.html; web/app.js; web/styles.css; SUBMISSION.md; WEBMCP_JUDGE_PANEL_BRIEF.html</x:v>
      </x:c>
      <x:c r="E82" s="14" t="str">
        <x:v>Live reflection UI and Chrome-oriented demo narrative</x:v>
      </x:c>
      <x:c r="F82" s="14" t="str">
        <x:v>Chrome platform judge and accessibility-conscious visitor</x:v>
      </x:c>
      <x:c r="G82" s="14" t="str">
        <x:v>As a Chrome platform judge or accessibility-conscious visitor, I want motion, Origin Trial, and accessibility claims to match the deployed interface, so that I can evaluate real browser craftsmanship rather than an invented SVG demonstration.</x:v>
      </x:c>
      <x:c r="H82" s="14" t="str">
        <x:v>The submission identifies the real CSS progress transition, semantic progressbar, status/live regions, focus movement, Origin Trial token, feature-detection fallback, and visible WebMCP state; it does not claim an SVG radial dial, requestAnimationFrame, compositor-only execution, zero paints, 60 fps, zero setup friction, or a dependency-free total bundle without measured evidence.</x:v>
      </x:c>
      <x:c r="I82" s="14" t="str">
        <x:v>PASS — the submission now presents the real browser UX: semantic 12-step progress, aria-valuenow updates, question/result focus, polite status/result regions, reduced-motion behavior, awaited model-context registration, the Origin Trial token, and direct-use fallback. The Chrome claim ledger explicitly classifies the invented SVG/rAF/compositor/performance and zero-setup statements as contradicted, unmeasured, unresolved, qualified, or excluded.</x:v>
      </x:c>
      <x:c r="J82" s="14" t="str">
        <x:v>Fixed</x:v>
      </x:c>
      <x:c r="K82" s="14" t="str">
        <x:v>Source-to-claim audit + browser accessibility/animation inspection + submission regression</x:v>
      </x:c>
      <x:c r="L82" s="14" t="str">
        <x:v>Inspect HTML/CSS/JS for SVG, rAF, transform, ARIA, focus, events, and Origin Trial integration; run browser checks for semantic roles and reduced-motion behavior; classify every proposed claim before implementation.</x:v>
      </x:c>
      <x:c r="M82" s="14" t="str">
        <x:v>FAIL — source and reduced-motion browser baseline contradict the proposed SVG/compositor performance narrative. Supported browser craftsmanship exists but is not yet documented as a reproducible Chrome UX claim ledger. Evidence: qa_evidence/webmcp_chrome_ux/baseline.txt; qa_evidence/webmcp_chrome_ux/baseline-browser.json; qa_evidence/webmcp_chrome_ux/baseline-mobile.png.</x:v>
      </x:c>
      <x:c r="N82" s="14" t="str">
        <x:v>Submission-integrity risk: proposed judge-targeted copy would attribute unsupported personal preferences and advertise browser mechanisms/performance measurements that are absent or unmeasured.</x:v>
      </x:c>
      <x:c r="O82" s="14" t="str">
        <x:v>High</x:v>
      </x:c>
      <x:c r="P82" s="14" t="str">
        <x:v>Yes — add a generated evidence ledger and corrected demo guidance using only implemented progress, ARIA, focus, reduced-motion, CustomEvent, feature-detection, and Origin Trial facts; qualify setup and dependency claims.</x:v>
      </x:c>
      <x:c r="Q82" s="14" t="str">
        <x:v>Added a generated Chrome motion/accessibility claim ledger, corrected the demo narration and README boundaries, extended the StrategiX XML contract, and added a deterministic Chrome UX claim validator. No fictitious dial or unmeasured performance implementation was added.</x:v>
      </x:c>
      <x:c r="R82" s="14" t="str">
        <x:v>WEBMCP_JUDGE_PANEL_BRIEF.html; scripts/build-webmcp-judge-panel-brief.mjs; scripts/validate-webmcp-judge-panel-brief.mjs; scripts/validate-webmcp-chrome-ux.mjs; scripts/validate-submission.mjs; SUBMISSION.md; README.md; package.json; CHANGELOG.md; qa_evidence/webmcp_chrome_ux/**; feature_status_tracker.csv</x:v>
      </x:c>
      <x:c r="S82" s="14" t="str">
        <x:v>c6e7d4d</x:v>
      </x:c>
      <x:c r="T82" s="14" t="str">
        <x:v>Run npm run test:webmcp:chrome-ux, judge-panel and submission validators, all WebMCP corpus/evidence validators, npm test, Stripe/site validation, go test, and go vet; inspect desktop and 390 px app/brief renders with reduced motion and check focus, aria-valuenow, live regions, console errors, and overflow.</x:v>
      </x:c>
      <x:c r="U82" s="14" t="str">
        <x:v>PASS — deterministic claim, judge-panel, and submission gates passed; 25/25 web tests and 1/1 Stripe test passed; all WebMCP corpus/evidence validators, site validation, Go tests, and Go vet passed. Desktop and 390 px browser checks showed question-title focus, aria-valuenow=2, transitionDuration=0s under reduced motion, two polite live regions, zero SVG/canvas elements, zero overflow, and zero console errors. Production HTTP returned 200 with Origin Trial, status, progressbar, and live-region markup.</x:v>
      </x:c>
      <x:c r="V82" s="14" t="str">
        <x:v>Verified</x:v>
      </x:c>
      <x:c r="W82" s="14" t="str">
        <x:v>No</x:v>
      </x:c>
      <x:c r="X82" s="14" t="str">
        <x:v>Initial failure retained in Test Result and qa_evidence/webmcp_chrome_ux/baseline*. A normal headless Chrome run did not expose modelContext despite the local token, so zero-flag access remains intentionally unclaimed. The verified judge path continues to document Chrome 149 plus the testing flag. No public app runtime was changed or deployed in this pass.</x:v>
      </x:c>
      <x:c r="Y82" s="14" t="str">
        <x:v>Tailor the submission to Sarah Drasner using SVG animation, Chrome Origin Trial, accessibility, and motion-performance claims.</x:v>
      </x:c>
    </x:row>
    <x:row r="83">
      <x:c r="A83" s="14" t="str">
        <x:v>RES-014</x:v>
      </x:c>
      <x:c r="B83" s="14" t="str">
        <x:v>Six-role judge claim reconciliation</x:v>
      </x:c>
      <x:c r="C83" s="14" t="str">
        <x:v>Competition presentation, architecture, privacy, performance, and commerce</x:v>
      </x:c>
      <x:c r="D83" s="14" t="str">
        <x:v>web/lib/webmcp.js; web/app.js; web/lib/analytics.js; web/data/shop.json; README.md; SUBMISSION.md; WEBMCP_JUDGE_PANEL_BRIEF.html</x:v>
      </x:c>
      <x:c r="E83" s="14" t="str">
        <x:v>Judge evidence brief and Devpost technical narrative</x:v>
      </x:c>
      <x:c r="F83" s="14" t="str">
        <x:v>WebMCP Challenge judge and technical reviewer</x:v>
      </x:c>
      <x:c r="G83" s="14" t="str">
        <x:v>As a WebMCP Challenge judge, I want role-relevant claims about safety, tool design, performance, privacy, frontend architecture, and commercial utility tied to reproducible evidence, so that I can evaluate the real product without personal profiling or fictional capabilities.</x:v>
      </x:c>
      <x:c r="H83" s="14" t="str">
        <x:v>The submission maps the six remaining public roles to implemented evidence: explicit answer and commerce authority boundaries; strict eight-tool schemas and completion gating; measured source-module sizes without invented kinematics benchmarks; browser-local reflection with disclosed analytics/email/Stripe egress; modular vanilla ESM with real direct state adapters and CustomEvents; and a static-first digital-commerce funnel with human-controlled Stripe. It rejects private-preference claims, a ninth/physical-deck tool, structured error envelopes not returned by the runtime, under-20KB/zero-network assertions, astronomy, dyadic/P2P tokens, zero telemetry/database/compute, pure event-only reactivity, physical products/prices, and guaranteed scores.</x:v>
      </x:c>
      <x:c r="I83" s="14" t="str">
        <x:v>PASS — the generated judge brief now contains six visible and machine-readable role evidence paths. Each path distinguishes supported behavior from a correction and gives a reproducible judge check. README and submission copy point reviewers to the matrix without adopting private-preference, fictional feature, absolute privacy/cost, physical-product, or guaranteed-score claims.</x:v>
      </x:c>
      <x:c r="J83" s="14" t="str">
        <x:v>Fixed</x:v>
      </x:c>
      <x:c r="K83" s="14" t="str">
        <x:v>Source-to-claim audit + generated StrategiX matrix + browser/submission regression</x:v>
      </x:c>
      <x:c r="L83" s="14" t="str">
        <x:v>Inventory every supplied claim; map each to current source, public data, preserved browser evidence, or an explicit contradiction/qualification; verify public-role framing contains no private psychographic claims; validate generated HTML/XML and submission text; retest all affected behavior.</x:v>
      </x:c>
      <x:c r="M83" s="14" t="str">
        <x:v>FAIL — the existing brief provides general evidence paths and exclusions, but not a complete six-role claim-by-claim reconciliation. Source evidence and contradictions are preserved in qa_evidence/webmcp_six_role_claims/baseline.txt.</x:v>
      </x:c>
      <x:c r="N83" s="14" t="str">
        <x:v>Submission-integrity risk: adopting the supplied text would advertise nonexistent tools, runtime modules, error shapes, privacy guarantees, products, benchmarks, and personal knowledge of judges.</x:v>
      </x:c>
      <x:c r="O83" s="14" t="str">
        <x:v>High</x:v>
      </x:c>
      <x:c r="P83" s="14" t="str">
        <x:v>Yes — generate a six-role evidence matrix with supported evidence, explicit corrections, and reproducible checks; add concise README/submission guidance and deterministic prohibited-claim validation.</x:v>
      </x:c>
      <x:c r="Q83" s="14" t="str">
        <x:v>Added six public-role evidence cards and six embedded XML Role records; expanded source provenance; added README/submission guidance, prohibited-claim assertions, and the test:webmcp:six-role-claims gate. Runtime tool and commerce authority were not expanded.</x:v>
      </x:c>
      <x:c r="R83" s="14" t="str">
        <x:v>WEBMCP_JUDGE_PANEL_BRIEF.html; scripts/build-webmcp-judge-panel-brief.mjs; scripts/validate-webmcp-judge-panel-brief.mjs; scripts/validate-webmcp-six-role-claims.mjs; scripts/validate-submission.mjs; README.md; SUBMISSION.md; package.json; CHANGELOG.md; qa_evidence/webmcp_six_role_claims/**; feature_status_tracker.csv</x:v>
      </x:c>
      <x:c r="S83" s="14" t="str">
        <x:v>fe40fe4</x:v>
      </x:c>
      <x:c r="T83" s="14" t="str">
        <x:v>Run the six-role, judge-panel, Chrome UX, competition, corpus/evidence, site, submission, Stripe, and Go gates; render the StrategiX brief at 1440 px and 390 px; count visible role cards and XML Role records; check overflow and console output.</x:v>
      </x:c>
      <x:c r="U83" s="14" t="str">
        <x:v>PASS — six-role, judge-panel, Chrome UX, submission, and all adjacent regression gates passed. The full suite passed 25/25 web tests, 1/1 Stripe test, all WebMCP corpus/evidence checks, site validation, Go tests, and Go vet. Desktop and mobile each rendered six role cards and six XML Role records with zero overflow and zero console errors.</x:v>
      </x:c>
      <x:c r="V83" s="14" t="str">
        <x:v>Verified</x:v>
      </x:c>
      <x:c r="W83" s="14" t="str">
        <x:v>No</x:v>
      </x:c>
      <x:c r="X83" s="14" t="str">
        <x:v>Baseline failure is preserved in Test Result and qa_evidence/webmcp_six_role_claims/baseline.txt. The public role is used only as a navigation lens. No judge preference, likely score, new tool, astronomy module, P2P protocol, physical catalog item, or infrastructure migration was inferred or implemented.</x:v>
      </x:c>
      <x:c r="Y83" s="14" t="str">
        <x:v>Reconcile the supplied deep-dive profiles and architectural flexes for Justin Rushing, Alex Nahas, Ilya Grigorik, Andrew Galloni, Jude Gao, and Sean Roberts.</x:v>
      </x:c>
    </x:row>
    <x:row r="84">
      <x:c r="A84" s="14" t="str">
        <x:v>EM-006</x:v>
      </x:c>
      <x:c r="B84" s="14" t="str">
        <x:v>Production email-reflection submission routing</x:v>
      </x:c>
      <x:c r="C84" s="14" t="str">
        <x:v>Subscriber email / production routing</x:v>
      </x:c>
      <x:c r="D84" s="14" t="str">
        <x:v>web/app.js; web/config.js; firebase.json; api/internal/subscriber/http.go</x:v>
      </x:c>
      <x:c r="E84" s="14" t="str">
        <x:v>Completed quiz → Email my reflection; POST /api/v1/subscribers</x:v>
      </x:c>
      <x:c r="F84" s="14" t="str">
        <x:v>Quiz participant requesting an emailed reflection</x:v>
      </x:c>
      <x:c r="G84" s="14" t="str">
        <x:v>As a quiz participant, I want the Email my reflection button to submit successfully and show a clear outcome, so that I can confirm my address and receive my reflection.</x:v>
      </x:c>
      <x:c r="H84" s="14" t="str">
        <x:v>After Turnstile succeeds and the participant submits valid consent and email data, Firebase Hosting routes /api/** to the Cloud Run subscriber service; the API returns bounded JSON, the page announces that confirmation is required, and the confirmation email is created. Routing failures remain visibly actionable.</x:v>
      </x:c>
      <x:c r="I84" s="14" t="str">
        <x:v>Production now routes /api/** to the ready Cloud Run revision. The completed-quiz page loads app.js?v=20260830-5, keeps WebMCP ready with eight tools, and places submission feedback directly below the button in a focusable polite live region.</x:v>
      </x:c>
      <x:c r="J84" s="14" t="str">
        <x:v>Fixed</x:v>
      </x:c>
      <x:c r="K84" s="14" t="str">
        <x:v>Production HTTP route + completed-quiz browser flow + adjacent subscriber regression</x:v>
      </x:c>
      <x:c r="L84" s="14" t="str">
        <x:v>Confirm the user-visible completed-quiz state; request /api/v1/health; POST a non-sensitive invalid fixture to /api/v1/subscribers; verify requests reach the Go API and return JSON; then perform one explicit real-address end-to-end submission only with operator confirmation.</x:v>
      </x:c>
      <x:c r="M84" s="14" t="str">
        <x:v>FAIL — /api/v1/health and POST /api/v1/subscribers both return Firebase Hosting 404 HTML instead of Cloud Run JSON. Evidence: qa_evidence/subscriber_route_recovery/baseline.txt and user screenshot codex-clipboard-2a0d5910-800b-4915-8ea8-84b17db699a4.png.</x:v>
      </x:c>
      <x:c r="N84" s="14" t="str">
        <x:v>The production Hosting release does not apply the repository’s /api/** Cloud Run rewrite even though firebase.json declares it. The deployed subscriber service itself still exists and has a ready revision.</x:v>
      </x:c>
      <x:c r="O84" s="14" t="str">
        <x:v>Critical</x:v>
      </x:c>
      <x:c r="P84" s="14" t="str">
        <x:v>Yes</x:v>
      </x:c>
      <x:c r="Q84" s="14" t="str">
        <x:v>Redeployed Firebase Hosting from the canonical firebase.json so /api/** is pinned to Cloud Run revision mirrorloopai-subscriber-00011-5wz; moved the status beside the button; focused it after completion; added a bounded service-unavailable message for HTML 404 responses; bumped the app asset version.</x:v>
      </x:c>
      <x:c r="R84" s="14" t="str">
        <x:v>web/index.html; web/app.js; scripts/validate-site.mjs; CHANGELOG.md; qa_evidence/subscriber_route_recovery/**; feature_status_tracker.csv; feature_status_tracker.xlsx; feature_status_tracker.html; feature_qa_report.md</x:v>
      </x:c>
      <x:c r="S84" s="14" t="str">
        <x:v>825e1a6</x:v>
      </x:c>
      <x:c r="T84" s="14" t="str">
        <x:v>Deploy Hosting configuration with the /api/** rewrite using the correct Firebase project and compatible CLI runtime; verify /api/v1/health returns JSON 200 and subscriber POST returns API JSON; run web, Go, site, Stripe, and production route gates; preserve one real email test for action-time confirmation.</x:v>
      </x:c>
      <x:c r="U84" s="14" t="str">
        <x:v>PASS — custom-domain and Firebase-domain health routes return JSON 200; invalid challenge POST reaches the Go API and returns bounded JSON 400 rather than Hosting HTML; active Hosting config contains the /api/** Cloud Run rewrite; production serves app.js?v=20260830-5; a fresh Chrome flow completed all 12 questions and exposed the accessible email form with WebMCP ready · 8 tools. Web 25/25, Stripe 1/1, site validation, all WebMCP/submission validators, Go tests, and Go vet passed. Evidence: qa_evidence/subscriber_route_recovery/.</x:v>
      </x:c>
      <x:c r="V84" s="14" t="str">
        <x:v>Verified</x:v>
      </x:c>
      <x:c r="W84" s="14" t="str">
        <x:v>No</x:v>
      </x:c>
      <x:c r="X84" s="14" t="str">
        <x:v>The routing and browser UX failure are verified fixed. No real email address or valid Turnstile token was transmitted during automated retest; the operator can now retry the existing form, which will create the intended double-opt-in request.</x:v>
      </x:c>
      <x:c r="Y84" s="14" t="str">
        <x:v>I clicked Email my reflection but nothing happens; it is in Chrome Dev.</x:v>
      </x:c>
    </x:row>
  </x:sheetData>
  <x:dataValidations count="4">
    <x:dataValidation type="list" sqref="J2:J84">
      <x:formula1>"Not Reviewed,Story Drafted,Ready For Test,Failed Test,Fix In Progress,Fixed,Retest Failed,Verified,Blocked,Needs Product Decision"</x:formula1>
    </x:dataValidation>
    <x:dataValidation type="list" sqref="O2:O84">
      <x:formula1>"Critical,High,Medium,Low,None"</x:formula1>
    </x:dataValidation>
    <x:dataValidation type="list" sqref="K2:K84">
      <x:formula1>"Code Review,Manual UI,Automated Test,Smoke Test,Regression Test,Accessibility Review,Responsive Review,Integration Test"</x:formula1>
    </x:dataValidation>
    <x:dataValidation type="list" sqref="V2:V84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COUNTA('Tracker'!$A$2:$A$84)</x:f>
        <x:v>83</x:v>
      </x:c>
      <x:c r="D4" s="21" t="str">
        <x:v>Critical</x:v>
      </x:c>
      <x:c r="E4" s="21" t="n">
        <x:f>COUNTIFS('Tracker'!$O$2:$O$84,"Critical",'Tracker'!$V$2:$V$84,"&lt;&gt;Verified")</x:f>
        <x:v>4</x:v>
      </x:c>
    </x:row>
    <x:row r="5" ht="22" customHeight="1">
      <x:c r="A5" s="21" t="str">
        <x:v>Current Verified</x:v>
      </x:c>
      <x:c r="B5" s="21" t="n">
        <x:f>COUNTIF('Tracker'!$J$2:$J$84,"Verified")</x:f>
        <x:v>56</x:v>
      </x:c>
      <x:c r="D5" s="21" t="str">
        <x:v>High</x:v>
      </x:c>
      <x:c r="E5" s="21" t="n">
        <x:f>COUNTIFS('Tracker'!$O$2:$O$84,"High",'Tracker'!$V$2:$V$84,"&lt;&gt;Verified")</x:f>
        <x:v>1</x:v>
      </x:c>
    </x:row>
    <x:row r="6" ht="22" customHeight="1">
      <x:c r="A6" s="21" t="str">
        <x:v>Failed Test</x:v>
      </x:c>
      <x:c r="B6" s="21" t="n">
        <x:f>COUNTIF('Tracker'!$J$2:$J$84,"Failed Test")</x:f>
        <x:v>1</x:v>
      </x:c>
      <x:c r="D6" s="21" t="str">
        <x:v>Medium</x:v>
      </x:c>
      <x:c r="E6" s="21" t="n">
        <x:f>COUNTIFS('Tracker'!$O$2:$O$84,"Medium",'Tracker'!$V$2:$V$84,"&lt;&gt;Verified")</x:f>
        <x:v>0</x:v>
      </x:c>
    </x:row>
    <x:row r="7" ht="22" customHeight="1">
      <x:c r="A7" s="21" t="str">
        <x:v>Fix In Progress</x:v>
      </x:c>
      <x:c r="B7" s="21" t="n">
        <x:f>COUNTIF('Tracker'!$J$2:$J$84,"Fix In Progress")</x:f>
        <x:v>0</x:v>
      </x:c>
      <x:c r="D7" s="21" t="str">
        <x:v>Low</x:v>
      </x:c>
      <x:c r="E7" s="21" t="n">
        <x:f>COUNTIFS('Tracker'!$O$2:$O$84,"Low",'Tracker'!$V$2:$V$84,"&lt;&gt;Verified")</x:f>
        <x:v>0</x:v>
      </x:c>
    </x:row>
    <x:row r="8" ht="22" customHeight="1">
      <x:c r="A8" s="21" t="str">
        <x:v>Fixed</x:v>
      </x:c>
      <x:c r="B8" s="21" t="n">
        <x:f>COUNTIF('Tracker'!$J$2:$J$84,"Fixed")</x:f>
        <x:v>22</x:v>
      </x:c>
      <x:c r="D8" s="21" t="str">
        <x:v>Needs Product Decision</x:v>
      </x:c>
      <x:c r="E8" s="21" t="n">
        <x:f>COUNTIF('Tracker'!$W$2:$W$84,"Yes")</x:f>
        <x:v>1</x:v>
      </x:c>
    </x:row>
    <x:row r="9" ht="22" customHeight="1">
      <x:c r="A9" s="21" t="str">
        <x:v>Final Verified</x:v>
      </x:c>
      <x:c r="B9" s="21" t="n">
        <x:f>COUNTIF('Tracker'!$V$2:$V$84,"Verified")</x:f>
        <x:v>78</x:v>
      </x:c>
      <x:c r="D9" s="21" t="str">
        <x:v>Rows With Commit Hash</x:v>
      </x:c>
      <x:c r="E9" s="21" t="n">
        <x:v>51</x:v>
      </x:c>
    </x:row>
    <x:row r="10" ht="22" customHeight="1">
      <x:c r="A10" s="21" t="str">
        <x:v>Blocked</x:v>
      </x:c>
      <x:c r="B10" s="21" t="n">
        <x:f>COUNTIF('Tracker'!$V$2:$V$84,"Blocked")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