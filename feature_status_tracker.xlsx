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4e6b7a43fe94c0e" /></Relationships>
</file>

<file path=xl/workbook.xml><?xml version="1.0" encoding="utf-8"?>
<x:workbook xmlns:x="http://schemas.openxmlformats.org/spreadsheetml/2006/main">
  <x:sheets>
    <x:sheet xmlns:r="http://schemas.openxmlformats.org/officeDocument/2006/relationships" name="Tracker" sheetId="1" r:id="R03009878166b4d70"/>
    <x:sheet xmlns:r="http://schemas.openxmlformats.org/officeDocument/2006/relationships" name="Dashboard" sheetId="2" r:id="R79a0731f8f3e4a5b"/>
    <x:sheet xmlns:r="http://schemas.openxmlformats.org/officeDocument/2006/relationships" name="Lists" sheetId="3" r:id="Rf0f2937aff184ffa"/>
    <x:sheet xmlns:r="http://schemas.openxmlformats.org/officeDocument/2006/relationships" name="Instructions" sheetId="4" r:id="R43ac1724783c4ee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814576a6c7e4182" /><Relationship Type="http://schemas.openxmlformats.org/officeDocument/2006/relationships/theme" Target="/xl/theme/theme1.xml" Id="R2d2209a19f294d89" /><Relationship Type="http://schemas.openxmlformats.org/officeDocument/2006/relationships/sharedStrings" Target="/xl/sharedStrings.xml" Id="R1c908329ea244a7b" /><Relationship Type="http://schemas.openxmlformats.org/officeDocument/2006/relationships/worksheet" Target="/xl/worksheets/sheet1.xml" Id="R03009878166b4d70" /><Relationship Type="http://schemas.openxmlformats.org/officeDocument/2006/relationships/worksheet" Target="/xl/worksheets/sheet2.xml" Id="R79a0731f8f3e4a5b" /><Relationship Type="http://schemas.openxmlformats.org/officeDocument/2006/relationships/worksheet" Target="/xl/worksheets/sheet3.xml" Id="Rf0f2937aff184ffa" /><Relationship Type="http://schemas.openxmlformats.org/officeDocument/2006/relationships/worksheet" Target="/xl/worksheets/sheet4.xml" Id="R43ac1724783c4ee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Fixed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production screenshot shows the new confirmation HTML with no MIRROR//LOOP styling applied.</x:v>
      </x:c>
      <x:c r="N87" s="14" t="str">
        <x:v>Inline confirmation CSS is incompatible with the effective production CSP when hosting and API policies are both enforced.</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c r="T87" s="14" t="str">
        <x:v>After repair, run Go tests/vet and web suites; browser-render the valid template at desktop/mobile through an HTTP origin; verify /confirmation.css and invalid production route; inspect computed styles, overflow, CSP, and scanner-safe GET behavior.</x:v>
      </x:c>
      <x:c r="U87" s="14" t="str">
        <x:v>LOCAL PASS — Go test/vet passed; 28/28 web tests, site validation, 15-case WebMCP corpus, Stripe inventory, and desktop/mobile Chrome rendering passed. Computed body gradient and card/button radii were applied from one stylesheet, with zero console errors and zero horizontal overflow. Production deployment verification pending.</x:v>
      </x:c>
      <x:c r="V87" s="14" t="str">
        <x:v>Fixed</x:v>
      </x:c>
      <x:c r="W87" s="14" t="str">
        <x:v>No</x:v>
      </x:c>
      <x:c r="X87" s="14" t="str">
        <x:v>Baseline and local browser evidence: qa_evidence/confirmation_page_style_regression/. The browser test serves the generated valid confirmation HTML and CSS through one HTTP origin under the production-style CSP.</x:v>
      </x:c>
      <x:c r="Y87" s="14" t="str">
        <x:v>Screenshot showing the redesigned confirmation page still rendering as unstyled browser-default HTML.</x:v>
      </x:c>
    </x:row>
  </x:sheetData>
  <x:dataValidations count="4">
    <x:dataValidation type="list" sqref="J2:J87">
      <x:formula1>"Not Reviewed,Story Drafted,Ready For Test,Failed Test,Fix In Progress,Fixed,Retest Failed,Verified,Blocked,Needs Product Decision"</x:formula1>
    </x:dataValidation>
    <x:dataValidation type="list" sqref="O2:O87">
      <x:formula1>"Critical,High,Medium,Low,None"</x:formula1>
    </x:dataValidation>
    <x:dataValidation type="list" sqref="K2:K87">
      <x:formula1>"Code Review,Manual UI,Automated Test,Smoke Test,Regression Test,Accessibility Review,Responsive Review,Integration Test"</x:formula1>
    </x:dataValidation>
    <x:dataValidation type="list" sqref="V2:V87">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COUNTA('Tracker'!$A$2:$A$87)</x:f>
        <x:v>86</x:v>
      </x:c>
      <x:c r="D4" s="21" t="str">
        <x:v>Critical</x:v>
      </x:c>
      <x:c r="E4" s="21" t="n">
        <x:f>COUNTIFS('Tracker'!$O$2:$O$87,"Critical",'Tracker'!$V$2:$V$87,"&lt;&gt;Verified")</x:f>
        <x:v>4</x:v>
      </x:c>
    </x:row>
    <x:row r="5" ht="22" customHeight="1">
      <x:c r="A5" s="21" t="str">
        <x:v>Current Verified</x:v>
      </x:c>
      <x:c r="B5" s="21" t="n">
        <x:f>COUNTIF('Tracker'!$J$2:$J$87,"Verified")</x:f>
        <x:v>56</x:v>
      </x:c>
      <x:c r="D5" s="21" t="str">
        <x:v>High</x:v>
      </x:c>
      <x:c r="E5" s="21" t="n">
        <x:f>COUNTIFS('Tracker'!$O$2:$O$87,"High",'Tracker'!$V$2:$V$87,"&lt;&gt;Verified")</x:f>
        <x:v>2</x:v>
      </x:c>
    </x:row>
    <x:row r="6" ht="22" customHeight="1">
      <x:c r="A6" s="21" t="str">
        <x:v>Failed Test</x:v>
      </x:c>
      <x:c r="B6" s="21" t="n">
        <x:f>COUNTIF('Tracker'!$J$2:$J$87,"Failed Test")</x:f>
        <x:v>1</x:v>
      </x:c>
      <x:c r="D6" s="21" t="str">
        <x:v>Medium</x:v>
      </x:c>
      <x:c r="E6" s="21" t="n">
        <x:f>COUNTIFS('Tracker'!$O$2:$O$87,"Medium",'Tracker'!$V$2:$V$87,"&lt;&gt;Verified")</x:f>
        <x:v>0</x:v>
      </x:c>
    </x:row>
    <x:row r="7" ht="22" customHeight="1">
      <x:c r="A7" s="21" t="str">
        <x:v>Fix In Progress</x:v>
      </x:c>
      <x:c r="B7" s="21" t="n">
        <x:f>COUNTIF('Tracker'!$J$2:$J$87,"Fix In Progress")</x:f>
        <x:v>0</x:v>
      </x:c>
      <x:c r="D7" s="21" t="str">
        <x:v>Low</x:v>
      </x:c>
      <x:c r="E7" s="21" t="n">
        <x:f>COUNTIFS('Tracker'!$O$2:$O$87,"Low",'Tracker'!$V$2:$V$87,"&lt;&gt;Verified")</x:f>
        <x:v>0</x:v>
      </x:c>
    </x:row>
    <x:row r="8" ht="22" customHeight="1">
      <x:c r="A8" s="21" t="str">
        <x:v>Fixed</x:v>
      </x:c>
      <x:c r="B8" s="21" t="n">
        <x:f>COUNTIF('Tracker'!$J$2:$J$87,"Fixed")</x:f>
        <x:v>25</x:v>
      </x:c>
      <x:c r="D8" s="21" t="str">
        <x:v>Needs Product Decision</x:v>
      </x:c>
      <x:c r="E8" s="21" t="n">
        <x:f>COUNTIF('Tracker'!$W$2:$W$87,"Yes")</x:f>
        <x:v>1</x:v>
      </x:c>
    </x:row>
    <x:row r="9" ht="22" customHeight="1">
      <x:c r="A9" s="21" t="str">
        <x:v>Final Verified</x:v>
      </x:c>
      <x:c r="B9" s="21" t="n">
        <x:f>COUNTIF('Tracker'!$V$2:$V$87,"Verified")</x:f>
        <x:v>80</x:v>
      </x:c>
      <x:c r="D9" s="21" t="str">
        <x:v>Rows With Commit Hash</x:v>
      </x:c>
      <x:c r="E9" s="21" t="n">
        <x:v>53</x:v>
      </x:c>
    </x:row>
    <x:row r="10" ht="22" customHeight="1">
      <x:c r="A10" s="21" t="str">
        <x:v>Blocked</x:v>
      </x:c>
      <x:c r="B10" s="21" t="n">
        <x:f>COUNTIF('Tracker'!$V$2:$V$87,"Blocked")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