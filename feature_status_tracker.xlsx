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7f57b2d73a444ca" /></Relationships>
</file>

<file path=xl/workbook.xml><?xml version="1.0" encoding="utf-8"?>
<x:workbook xmlns:x="http://schemas.openxmlformats.org/spreadsheetml/2006/main">
  <x:sheets>
    <x:sheet xmlns:r="http://schemas.openxmlformats.org/officeDocument/2006/relationships" name="Tracker" sheetId="1" r:id="Ra90f54dd148642f1"/>
    <x:sheet xmlns:r="http://schemas.openxmlformats.org/officeDocument/2006/relationships" name="Dashboard" sheetId="2" r:id="R3b211110373a4ce3"/>
    <x:sheet xmlns:r="http://schemas.openxmlformats.org/officeDocument/2006/relationships" name="Lists" sheetId="3" r:id="Rd372d786bf3645c3"/>
    <x:sheet xmlns:r="http://schemas.openxmlformats.org/officeDocument/2006/relationships" name="Instructions" sheetId="4" r:id="R5f1e33b2bc5249b3"/>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98cacf7359b4765" /><Relationship Type="http://schemas.openxmlformats.org/officeDocument/2006/relationships/theme" Target="/xl/theme/theme1.xml" Id="Rd10cf26dba3a4dc5" /><Relationship Type="http://schemas.openxmlformats.org/officeDocument/2006/relationships/sharedStrings" Target="/xl/sharedStrings.xml" Id="R058064b6798c4817" /><Relationship Type="http://schemas.openxmlformats.org/officeDocument/2006/relationships/worksheet" Target="/xl/worksheets/sheet1.xml" Id="Ra90f54dd148642f1" /><Relationship Type="http://schemas.openxmlformats.org/officeDocument/2006/relationships/worksheet" Target="/xl/worksheets/sheet2.xml" Id="R3b211110373a4ce3" /><Relationship Type="http://schemas.openxmlformats.org/officeDocument/2006/relationships/worksheet" Target="/xl/worksheets/sheet3.xml" Id="Rd372d786bf3645c3" /><Relationship Type="http://schemas.openxmlformats.org/officeDocument/2006/relationships/worksheet" Target="/xl/worksheets/sheet4.xml" Id="R5f1e33b2bc5249b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9740b57</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9740b57</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9740b57</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9740b57</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9740b57</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9740b57</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592c08a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FAIL — GitHub reports visibility PRIVATE. GitHub detects the top-level MIT license, but the mandatory anonymous public-source requirement is not met.</x:v>
      </x:c>
      <x:c r="J60" s="14" t="str">
        <x:v>Failed Test</x:v>
      </x:c>
      <x:c r="K60" s="14" t="str">
        <x:v>GitHub metadata inspection</x:v>
      </x:c>
      <x:c r="L60" s="14" t="str">
        <x:v>Query repository visibility and license metadata; verify anonymous public access requirement and top-level license.</x:v>
      </x:c>
      <x:c r="M60" s="14" t="str">
        <x:v>FAIL — visibility is PRIVATE; MIT license is detected. Evidence: qa_evidence/feature-audit-2026-08-30/commands/devpost-submission-baseline.txt.</x:v>
      </x:c>
      <x:c r="N60" s="14" t="str">
        <x:v>Repository is private, while the official rules require a public repository.</x:v>
      </x:c>
      <x:c r="O60" s="14" t="str">
        <x:v>Critical</x:v>
      </x:c>
      <x:c r="P60" s="14" t="str">
        <x:v>Yes — external repository setting change requires operator confirmation.</x:v>
      </x:c>
      <x:c r="Q60" s="14" t="str">
        <x:v>Expanded public-facing source, license, setup, and submission documentation; repository visibility was intentionally not changed without operator confirmation.</x:v>
      </x:c>
      <x:c r="R60" s="14" t="str">
        <x:v>README.md; SUBMISSION.md; THIRD_PARTY_NOTICES.md</x:v>
      </x:c>
      <x:c r="S60" s="14" t="str">
        <x:v>2f08435</x:v>
      </x:c>
      <x:c r="T60" s="14" t="str">
        <x:v>After operator confirmation, make the repository public and verify anonymous access plus GitHub license detection.</x:v>
      </x:c>
      <x:c r="U60" s="14" t="str">
        <x:v>NOT RUN — repository remains private; external publication gate is still open.</x:v>
      </x:c>
      <x:c r="V60" s="14" t="str">
        <x:v>Failed Test</x:v>
      </x:c>
      <x:c r="W60" s="14" t="str">
        <x:v>Yes — confirm publication after the final secret/IP review.</x:v>
      </x:c>
      <x:c r="X60" s="14" t="str">
        <x:v>Official source: https://webmcp.devpost.com/ and https://webmcp.devpost.com/rules. Live source snapshot and SHA-256: qa_evidence/feature-audit-2026-08-30/commands/devpost-live-source-verification.txt.</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2f08435</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2f08435</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FAIL — no public YouTube URL or timed sub-three-minute recording plan exists in the repository.</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FAIL — no video or demo-plan artifact was found. Evidence: qa_evidence/feature-audit-2026-08-30/commands/devpost-submission-baseline.txt.</x:v>
      </x:c>
      <x:c r="N63" s="14" t="str">
        <x:v>The required public demo video is absent.</x:v>
      </x:c>
      <x:c r="O63" s="14" t="str">
        <x:v>Critical</x:v>
      </x:c>
      <x:c r="P63" s="14" t="str">
        <x:v>Yes — create the local script now; recording/upload remains an operator action.</x:v>
      </x:c>
      <x:c r="Q63" s="14" t="str">
        <x:v>Added a timed 2:35 demo shot list, narration, rights safeguards, captions check, and required flow. The public YouTube artifact remains external.</x:v>
      </x:c>
      <x:c r="R63" s="14" t="str">
        <x:v>SUBMISSION.md; scripts/validate-submission.mjs</x:v>
      </x:c>
      <x:c r="S63" s="14" t="str">
        <x:v>2f08435</x:v>
      </x:c>
      <x:c r="T63" s="14" t="str">
        <x:v>Validate the timed plan; after operator publication, verify the public YouTube URL, duration, audio, captions, and deployed behavior.</x:v>
      </x:c>
      <x:c r="U63" s="14" t="str">
        <x:v>PARTIAL PASS — local 2:35 plan is validated; public YouTube URL remains pending. Evidence: qa_evidence/feature-audit-2026-08-30/commands/devpost-submission-package-final.txt.</x:v>
      </x:c>
      <x:c r="V63" s="14" t="str">
        <x:v>Needs Product Decision</x:v>
      </x:c>
      <x:c r="W63" s="14" t="str">
        <x:v>Yes — operator must record/approve and publish the final video.</x:v>
      </x:c>
      <x:c r="X63" s="14" t="str">
        <x:v>Official source: https://webmcp.devpost.com/ and https://webmcp.devpost.com/rules. Live source snapshot and SHA-256: qa_evidence/feature-audit-2026-08-30/commands/devpost-live-source-verification.txt.</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2f08435</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FAIL — authenticated Devpost dashboard shows no project; local field-by-field submission package is also absent.</x:v>
      </x:c>
      <x:c r="J65" s="14" t="str">
        <x:v>Needs Product Decision</x:v>
      </x:c>
      <x:c r="K65" s="14" t="str">
        <x:v>Authenticated browser + checklist audit</x:v>
      </x:c>
      <x:c r="L65" s="14" t="str">
        <x:v>Inspect the entrant dashboard for an existing project; compare local package with all required Devpost fields.</x:v>
      </x:c>
      <x:c r="M65" s="14" t="str">
        <x:v>FAIL — dashboard says “Start a Project to begin your submission.” Evidence: qa_evidence/feature-audit-2026-08-30/browser/devpost-dashboard-and-browser-state.json.</x:v>
      </x:c>
      <x:c r="N65" s="14" t="str">
        <x:v>No Devpost project has been created.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2f08435</x:v>
      </x:c>
      <x:c r="T65" s="14" t="str">
        <x:v>Run local package validation; after confirmation, create the Devpost project and compare every field with SUBMISSION.md.</x:v>
      </x:c>
      <x:c r="U65" s="14" t="str">
        <x:v>PARTIAL PASS — complete local field package exists; authenticated dashboard still has no project. Evidence: qa_evidence/feature-audit-2026-08-30/commands/devpost-submission-package-final.txt; qa_evidence/feature-audit-2026-08-30/browser/devpost-dashboard-and-browser-state.json.</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PARTIAL — MIT license and private-corpus exclusions are present, but entrant eligibility, ownership authorization, and a consolidated third-party notice remain unresolved.</x:v>
      </x:c>
      <x:c r="J66" s="14" t="str">
        <x:v>Needs Product Decision</x:v>
      </x:c>
      <x:c r="K66" s="14" t="str">
        <x:v>Compliance checklist</x:v>
      </x:c>
      <x:c r="L66" s="14" t="str">
        <x:v>Review rules, licenses, asset/source statements, dependency/service notices, and identify attestations that only the operator can confirm.</x:v>
      </x:c>
      <x:c r="M66" s="14" t="str">
        <x:v>PARTIAL — repository safeguards exist; operator attestations are unresolved. Evidence: qa_evidence/feature-audit-2026-08-30/commands/devpost-requirements-audit.txt; README.md; LICENSE.</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2f08435</x:v>
      </x:c>
      <x:c r="T66" s="14" t="str">
        <x:v>Run local validation; operator completes every attestation and final public-repository scan.</x:v>
      </x:c>
      <x:c r="U66" s="14" t="str">
        <x:v>PARTIAL PASS — notices and checklist are complete; entrant eligibility and rights assertions require operator confirmation.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2f08435</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2f08435</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2f08435</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2d84634</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2d84634</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2d84634</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2d84634</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2d84634</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9d39b92</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e74cc86</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fa341e7</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ddabacf</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7a91f15</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c6e7d4d</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fe40fe4</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825e1a6</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cfc9a70</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068a91f; dc43eb2</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b03a86c; 2ab3824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 A user-supplied production screenshot now independently confirms that a valid-token confirmation page renders the complete branded design, hierarchy, consent explanation, primary confirmation action, and return path.</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 Additional evidence: qa_evidence/confirmation_page_style_regression/production-valid-confirmation-page-user-observed.png.</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16bb41c; 75ace45</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row r="89">
      <x:c r="A89" s="14" t="str">
        <x:v>F-033</x:v>
      </x:c>
      <x:c r="B89" s="14" t="str">
        <x:v>Owner quiz-submission fulfillment notification</x:v>
      </x:c>
      <x:c r="C89" s="14" t="str">
        <x:v>Quiz subscriber email fulfillment</x:v>
      </x:c>
      <x:c r="D89" s="14" t="str">
        <x:v>api/internal/subscriber/service.go; api/internal/subscriber/mailer.go; web/index.html; web/privacy.html</x:v>
      </x:c>
      <x:c r="E89" s="14" t="str">
        <x:v>POST /api/v1/subscribers; quiz email form</x:v>
      </x:c>
      <x:c r="F89" s="14" t="str">
        <x:v>MIRROR//LOOP owner manually fulfilling participant reflections</x:v>
      </x:c>
      <x:c r="G89" s="14" t="str">
        <x:v>As the MIRROR//LOOP owner, I want an email notification identifying each accepted quiz submitter and listing their 12 selections in order, so that I can review or fulfill the reflection manually when needed.</x:v>
      </x:c>
      <x:c r="H89" s="14"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89" s="14"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89" s="14" t="str">
        <x:v>Retest Failed</x:v>
      </x:c>
      <x:c r="K89" s="14" t="str">
        <x:v>Mailer payload + service lifecycle + privacy disclosure + regression</x:v>
      </x:c>
      <x:c r="L89" s="14"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89" s="14"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89" s="14" t="str">
        <x:v>Participant confirmation delivery is now observed from a user-supplied receipt. Delivery of the owner diagnostic notification and the post-confirmation reflection email remains unobserved, so the operational fulfillment acceptance criterion is still unresolved.</x:v>
      </x:c>
      <x:c r="O89" s="14" t="str">
        <x:v>High</x:v>
      </x:c>
      <x:c r="P89" s="14" t="str">
        <x:v>Yes — verify the owner diagnostic notification and the post-confirmation reflection email in the operational mailbox; use Resend delivery/bounce event visibility if either message remains absent.</x:v>
      </x:c>
      <x:c r="Q89" s="14"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89" s="14"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89" s="14" t="str">
        <x:v>7d43acc</x:v>
      </x:c>
      <x:c r="T89" s="14" t="str">
        <x:v>Run focused mailer/service/model tests, all Go tests/vet, web tests, site validation, privacy assertions, and a production configuration/deployment check without submitting a real participant.</x:v>
      </x:c>
      <x:c r="U89" s="14" t="str">
        <x:v>PARTIAL PASS — the live Chrome path completed 12 questions and produced Horizon Signal; production Turnstile blocked automation as designed. An IAM-only temporary service completed submission (202), confirmation review (200), activation/result rendering (200), accepted owner notification without a failure log, accepted reflection send, and unsubscribe cleanup (200), then was deleted. A user-supplied receipt now confirms delivery of the participant confirmation email with the expected scanner-safe review link. Delivery of the owner diagnostic notification and the post-confirmation reflection email remains UNCONFIRMED. Evidence: qa_evidence/owner_quiz_submission_notification/e2e-*.txt and participant-confirmation-delivery-observed.txt.</x:v>
      </x:c>
      <x:c r="V89" s="14" t="str">
        <x:v>Retest Failed</x:v>
      </x:c>
      <x:c r="W89" s="14" t="str">
        <x:v>No</x:v>
      </x:c>
      <x:c r="X89" s="14" t="str">
        <x:v>Application behavior remains deployed on revision mirrorloopai-subscriber-00016-mjt. The isolated E2E service was IAM-only and deleted after use; the synthetic subscriber was unsubscribed. Production Turnstile was not weakened. Operational recipient remains private configuration. Participant confirmation delivery was observed through the user-provided email; its sensitive token is intentionally excluded from audit artifacts.</x:v>
      </x:c>
      <x:c r="Y89" s="14" t="str">
        <x:v>I should receive at constantine@aitrailblazer.com a notification for filling out the quiz with who submitted, their email address, and their ordered answers for manual fulfillment.</x:v>
      </x:c>
    </x:row>
  </x:sheetData>
  <x:dataValidations count="4">
    <x:dataValidation type="list" sqref="J2:J89">
      <x:formula1>"Not Reviewed,Story Drafted,Ready For Test,Failed Test,Fix In Progress,Fixed,Retest Failed,Verified,Blocked,Needs Product Decision"</x:formula1>
    </x:dataValidation>
    <x:dataValidation type="list" sqref="O2:O89">
      <x:formula1>"Critical,High,Medium,Low,None"</x:formula1>
    </x:dataValidation>
    <x:dataValidation type="list" sqref="K2:K89">
      <x:formula1>"Code Review,Manual UI,Automated Test,Smoke Test,Regression Test,Accessibility Review,Responsive Review,Integration Test"</x:formula1>
    </x:dataValidation>
    <x:dataValidation type="list" sqref="V2:V89">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COUNTA('Tracker'!$A$2:$A$89)</x:f>
        <x:v>88</x:v>
      </x:c>
      <x:c r="D4" s="21" t="str">
        <x:v>Critical</x:v>
      </x:c>
      <x:c r="E4" s="21" t="n">
        <x:f>COUNTIFS('Tracker'!$O$2:$O$89,"Critical",'Tracker'!$V$2:$V$89,"&lt;&gt;Verified")</x:f>
        <x:v>4</x:v>
      </x:c>
    </x:row>
    <x:row r="5" ht="22" customHeight="1">
      <x:c r="A5" s="21" t="str">
        <x:v>Current Verified</x:v>
      </x:c>
      <x:c r="B5" s="21" t="n">
        <x:f>COUNTIF('Tracker'!$J$2:$J$89,"Verified")</x:f>
        <x:v>58</x:v>
      </x:c>
      <x:c r="D5" s="21" t="str">
        <x:v>High</x:v>
      </x:c>
      <x:c r="E5" s="21" t="n">
        <x:f>COUNTIFS('Tracker'!$O$2:$O$89,"High",'Tracker'!$V$2:$V$89,"&lt;&gt;Verified")</x:f>
        <x:v>2</x:v>
      </x:c>
    </x:row>
    <x:row r="6" ht="22" customHeight="1">
      <x:c r="A6" s="21" t="str">
        <x:v>Failed Test</x:v>
      </x:c>
      <x:c r="B6" s="21" t="n">
        <x:f>COUNTIF('Tracker'!$J$2:$J$89,"Failed Test")</x:f>
        <x:v>1</x:v>
      </x:c>
      <x:c r="D6" s="21" t="str">
        <x:v>Medium</x:v>
      </x:c>
      <x:c r="E6" s="21" t="n">
        <x:f>COUNTIFS('Tracker'!$O$2:$O$89,"Medium",'Tracker'!$V$2:$V$89,"&lt;&gt;Verified")</x:f>
        <x:v>0</x:v>
      </x:c>
    </x:row>
    <x:row r="7" ht="22" customHeight="1">
      <x:c r="A7" s="21" t="str">
        <x:v>Fix In Progress</x:v>
      </x:c>
      <x:c r="B7" s="21" t="n">
        <x:f>COUNTIF('Tracker'!$J$2:$J$89,"Fix In Progress")</x:f>
        <x:v>0</x:v>
      </x:c>
      <x:c r="D7" s="21" t="str">
        <x:v>Low</x:v>
      </x:c>
      <x:c r="E7" s="21" t="n">
        <x:f>COUNTIFS('Tracker'!$O$2:$O$89,"Low",'Tracker'!$V$2:$V$89,"&lt;&gt;Verified")</x:f>
        <x:v>0</x:v>
      </x:c>
    </x:row>
    <x:row r="8" ht="22" customHeight="1">
      <x:c r="A8" s="21" t="str">
        <x:v>Fixed</x:v>
      </x:c>
      <x:c r="B8" s="21" t="n">
        <x:f>COUNTIF('Tracker'!$J$2:$J$89,"Fixed")</x:f>
        <x:v>24</x:v>
      </x:c>
      <x:c r="D8" s="21" t="str">
        <x:v>Needs Product Decision</x:v>
      </x:c>
      <x:c r="E8" s="21" t="n">
        <x:f>COUNTIF('Tracker'!$W$2:$W$89,"Yes")</x:f>
        <x:v>1</x:v>
      </x:c>
    </x:row>
    <x:row r="9" ht="22" customHeight="1">
      <x:c r="A9" s="21" t="str">
        <x:v>Final Verified</x:v>
      </x:c>
      <x:c r="B9" s="21" t="n">
        <x:f>COUNTIF('Tracker'!$V$2:$V$89,"Verified")</x:f>
        <x:v>82</x:v>
      </x:c>
      <x:c r="D9" s="21" t="str">
        <x:v>Rows With Commit Hash</x:v>
      </x:c>
      <x:c r="E9" s="21" t="n">
        <x:v>56</x:v>
      </x:c>
    </x:row>
    <x:row r="10" ht="22" customHeight="1">
      <x:c r="A10" s="21" t="str">
        <x:v>Blocked</x:v>
      </x:c>
      <x:c r="B10" s="21" t="n">
        <x:f>COUNTIF('Tracker'!$V$2:$V$89,"Blocked")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