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265d3387fb4b08" /></Relationships>
</file>

<file path=xl/workbook.xml><?xml version="1.0" encoding="utf-8"?>
<x:workbook xmlns:x="http://schemas.openxmlformats.org/spreadsheetml/2006/main">
  <x:sheets>
    <x:sheet xmlns:r="http://schemas.openxmlformats.org/officeDocument/2006/relationships" name="Tracker" sheetId="1" r:id="Rf0f64fbf298b47c7"/>
    <x:sheet xmlns:r="http://schemas.openxmlformats.org/officeDocument/2006/relationships" name="Dashboard" sheetId="2" r:id="R11fb38db9d4a499d"/>
    <x:sheet xmlns:r="http://schemas.openxmlformats.org/officeDocument/2006/relationships" name="Lists" sheetId="3" r:id="Rd7d82274250b4548"/>
    <x:sheet xmlns:r="http://schemas.openxmlformats.org/officeDocument/2006/relationships" name="Instructions" sheetId="4" r:id="R7f56ace4a8e945c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c2d01c84da94b48" /><Relationship Type="http://schemas.openxmlformats.org/officeDocument/2006/relationships/theme" Target="/xl/theme/theme1.xml" Id="R78dae4b26ffa41ad" /><Relationship Type="http://schemas.openxmlformats.org/officeDocument/2006/relationships/sharedStrings" Target="/xl/sharedStrings.xml" Id="Rc4eeebcb9e9443e1" /><Relationship Type="http://schemas.openxmlformats.org/officeDocument/2006/relationships/worksheet" Target="/xl/worksheets/sheet1.xml" Id="Rf0f64fbf298b47c7" /><Relationship Type="http://schemas.openxmlformats.org/officeDocument/2006/relationships/worksheet" Target="/xl/worksheets/sheet2.xml" Id="R11fb38db9d4a499d" /><Relationship Type="http://schemas.openxmlformats.org/officeDocument/2006/relationships/worksheet" Target="/xl/worksheets/sheet3.xml" Id="Rd7d82274250b4548" /><Relationship Type="http://schemas.openxmlformats.org/officeDocument/2006/relationships/worksheet" Target="/xl/worksheets/sheet4.xml" Id="R7f56ace4a8e945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The production contract exposes eight tools. explain_choice can explain only one option; there is no two-choice contrast. The HUD hardcodes 8 TOOLS MOUNTED after execution, and active competition contracts freeze the suite at eight.</x:v>
      </x:c>
      <x:c r="J92" s="14" t="str">
        <x:v>Failed Test</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FAIL — baseline evidence shows no compare_choices registration, adapter, or tests. Evidence: qa_evidence/webmcp_compare_choices/baseline-2026-08-30.txt.</x:v>
      </x:c>
      <x:c r="N92" s="14" t="str">
        <x:v>Participants who hesitate between two answers receive isolated explanations but no direct, neutral distinction; agents must synthesize one ad hoc or provide generic filler.</x:v>
      </x:c>
      <x:c r="O92" s="14" t="str">
        <x:v>Medium</x:v>
      </x:c>
      <x:c r="P92" s="14" t="str">
        <x:v>Yes</x:v>
      </x:c>
      <x:c r="Q92" s="14" t="str">
        <x:v>Not yet — discovery and test plan completed before implementation.</x:v>
      </x:c>
      <x:c r="R92" s="14" t="str">
        <x:v>qa_evidence/webmcp_compare_choices/baseline-2026-08-30.txt; feature_status_tracker.csv; feature_status_tracker.xlsx; feature_status_tracker.html; feature_qa_report.md</x:v>
      </x:c>
      <x:c r="S92" s="14" t="str"/>
      <x:c r="T92" s="14" t="str">
        <x:v>Run unit, strict-schema, lifecycle, browser mutation, full WebMCP corpus, submission, competition, site, Stripe, and production Chrome registration checks after the tracker-backed implementation.</x:v>
      </x:c>
      <x:c r="U92" s="14" t="str">
        <x:v>NOT RUN — implementation has not started.</x:v>
      </x:c>
      <x:c r="V92" s="14" t="str">
        <x:v>Failed Test</x:v>
      </x:c>
      <x:c r="W92" s="14" t="str">
        <x:v>No — the user explicitly authorized a distinct ninth read-only tool. The existing eight-tool freeze is superseded only for this bounded, non-mutating capability.</x:v>
      </x:c>
      <x:c r="X92" s="14" t="str">
        <x:v>Use the existing integer question_id convention even though the illustrative payload used "01". Preserve all historical eight-tool evidence as dated history; update only active contracts and generators.</x:v>
      </x:c>
      <x:c r="Y92" s="14" t="str">
        <x:v>Socratic Dialectic Contrast Tool (compare_choices): compare two competing options on the active question, return an operational contrast without choosing for the user, and reduce decision paralysis.</x:v>
      </x:c>
    </x:row>
  </x:sheetData>
  <x:dataValidations count="4">
    <x:dataValidation type="list" sqref="J2:J92">
      <x:formula1>"Not Reviewed,Story Drafted,Ready For Test,Failed Test,Fix In Progress,Fixed,Retest Failed,Verified,Blocked,Needs Product Decision"</x:formula1>
    </x:dataValidation>
    <x:dataValidation type="list" sqref="O2:O92">
      <x:formula1>"Critical,High,Medium,Low,None"</x:formula1>
    </x:dataValidation>
    <x:dataValidation type="list" sqref="K2:K92">
      <x:formula1>"Code Review,Manual UI,Automated Test,Smoke Test,Regression Test,Accessibility Review,Responsive Review,Integration Test"</x:formula1>
    </x:dataValidation>
    <x:dataValidation type="list" sqref="V2:V92">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COUNTA('Tracker'!$A$2:$A$92)</x:f>
        <x:v>91</x:v>
      </x:c>
      <x:c r="D4" s="21" t="str">
        <x:v>Critical</x:v>
      </x:c>
      <x:c r="E4" s="21" t="n">
        <x:f>COUNTIFS('Tracker'!$O$2:$O$92,"Critical",'Tracker'!$V$2:$V$92,"&lt;&gt;Verified")</x:f>
        <x:v>4</x:v>
      </x:c>
    </x:row>
    <x:row r="5" ht="22" customHeight="1">
      <x:c r="A5" s="21" t="str">
        <x:v>Current Verified</x:v>
      </x:c>
      <x:c r="B5" s="21" t="n">
        <x:f>COUNTIF('Tracker'!$J$2:$J$92,"Verified")</x:f>
        <x:v>60</x:v>
      </x:c>
      <x:c r="D5" s="21" t="str">
        <x:v>High</x:v>
      </x:c>
      <x:c r="E5" s="21" t="n">
        <x:f>COUNTIFS('Tracker'!$O$2:$O$92,"High",'Tracker'!$V$2:$V$92,"&lt;&gt;Verified")</x:f>
        <x:v>2</x:v>
      </x:c>
    </x:row>
    <x:row r="6" ht="22" customHeight="1">
      <x:c r="A6" s="21" t="str">
        <x:v>Failed Test</x:v>
      </x:c>
      <x:c r="B6" s="21" t="n">
        <x:f>COUNTIF('Tracker'!$J$2:$J$92,"Failed Test")</x:f>
        <x:v>2</x:v>
      </x:c>
      <x:c r="D6" s="21" t="str">
        <x:v>Medium</x:v>
      </x:c>
      <x:c r="E6" s="21" t="n">
        <x:f>COUNTIFS('Tracker'!$O$2:$O$92,"Medium",'Tracker'!$V$2:$V$92,"&lt;&gt;Verified")</x:f>
        <x:v>1</x:v>
      </x:c>
    </x:row>
    <x:row r="7" ht="22" customHeight="1">
      <x:c r="A7" s="21" t="str">
        <x:v>Fix In Progress</x:v>
      </x:c>
      <x:c r="B7" s="21" t="n">
        <x:f>COUNTIF('Tracker'!$J$2:$J$92,"Fix In Progress")</x:f>
        <x:v>0</x:v>
      </x:c>
      <x:c r="D7" s="21" t="str">
        <x:v>Low</x:v>
      </x:c>
      <x:c r="E7" s="21" t="n">
        <x:f>COUNTIFS('Tracker'!$O$2:$O$92,"Low",'Tracker'!$V$2:$V$92,"&lt;&gt;Verified")</x:f>
        <x:v>0</x:v>
      </x:c>
    </x:row>
    <x:row r="8" ht="22" customHeight="1">
      <x:c r="A8" s="21" t="str">
        <x:v>Fixed</x:v>
      </x:c>
      <x:c r="B8" s="21" t="n">
        <x:f>COUNTIF('Tracker'!$J$2:$J$92,"Fixed")</x:f>
        <x:v>24</x:v>
      </x:c>
      <x:c r="D8" s="21" t="str">
        <x:v>Needs Product Decision</x:v>
      </x:c>
      <x:c r="E8" s="21" t="n">
        <x:f>COUNTIF('Tracker'!$W$2:$W$92,"Yes")</x:f>
        <x:v>1</x:v>
      </x:c>
    </x:row>
    <x:row r="9" ht="22" customHeight="1">
      <x:c r="A9" s="21" t="str">
        <x:v>Final Verified</x:v>
      </x:c>
      <x:c r="B9" s="21" t="n">
        <x:f>COUNTIF('Tracker'!$V$2:$V$92,"Verified")</x:f>
        <x:v>84</x:v>
      </x:c>
      <x:c r="D9" s="21" t="str">
        <x:v>Rows With Commit Hash</x:v>
      </x:c>
      <x:c r="E9" s="21" t="n">
        <x:v>57</x:v>
      </x:c>
    </x:row>
    <x:row r="10" ht="22" customHeight="1">
      <x:c r="A10" s="21" t="str">
        <x:v>Blocked</x:v>
      </x:c>
      <x:c r="B10" s="21" t="n">
        <x:f>COUNTIF('Tracker'!$V$2:$V$92,"Blocked")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