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9ca48e09ee42ec" /></Relationships>
</file>

<file path=xl/workbook.xml><?xml version="1.0" encoding="utf-8"?>
<x:workbook xmlns:x="http://schemas.openxmlformats.org/spreadsheetml/2006/main">
  <x:sheets>
    <x:sheet xmlns:r="http://schemas.openxmlformats.org/officeDocument/2006/relationships" name="Tracker" sheetId="1" r:id="Rb5d1fe841fe9483d"/>
    <x:sheet xmlns:r="http://schemas.openxmlformats.org/officeDocument/2006/relationships" name="Dashboard" sheetId="2" r:id="R1a08db0b3f9244a6"/>
    <x:sheet xmlns:r="http://schemas.openxmlformats.org/officeDocument/2006/relationships" name="Lists" sheetId="3" r:id="R21484c89f1674aa5"/>
    <x:sheet xmlns:r="http://schemas.openxmlformats.org/officeDocument/2006/relationships" name="Instructions" sheetId="4" r:id="R80006840dc8547c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74bfa24ecb7491f" /><Relationship Type="http://schemas.openxmlformats.org/officeDocument/2006/relationships/theme" Target="/xl/theme/theme1.xml" Id="R38870d7402464907" /><Relationship Type="http://schemas.openxmlformats.org/officeDocument/2006/relationships/sharedStrings" Target="/xl/sharedStrings.xml" Id="R87741be445f745d4" /><Relationship Type="http://schemas.openxmlformats.org/officeDocument/2006/relationships/worksheet" Target="/xl/worksheets/sheet1.xml" Id="Rb5d1fe841fe9483d" /><Relationship Type="http://schemas.openxmlformats.org/officeDocument/2006/relationships/worksheet" Target="/xl/worksheets/sheet2.xml" Id="R1a08db0b3f9244a6" /><Relationship Type="http://schemas.openxmlformats.org/officeDocument/2006/relationships/worksheet" Target="/xl/worksheets/sheet3.xml" Id="R21484c89f1674aa5" /><Relationship Type="http://schemas.openxmlformats.org/officeDocument/2006/relationships/worksheet" Target="/xl/worksheets/sheet4.xml" Id="R80006840dc8547c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complete source repository is public at GitHub, anonymous access returns HTTP 200, and GitHub detects the top-level MIT license. The published history passed a full reachable-history Gitleaks scan with zero findings before visibility changed.</x:v>
      </x:c>
      <x:c r="J60" s="14" t="str">
        <x:v>Fixed</x:v>
      </x:c>
      <x:c r="K60" s="14" t="str">
        <x:v>GitHub metadata inspection</x:v>
      </x:c>
      <x:c r="L60" s="14" t="str">
        <x:v>Query repository visibility and license metadata; verify anonymous public access requirement and top-level license.</x:v>
      </x:c>
      <x:c r="M60" s="14" t="str">
        <x:v>PASS — GitHub reports PUBLIC visibility, default branch main, and MIT license detection; unauthenticated repository HTML returns HTTP 200 and the public API reports private=false. Evidence: qa_evidence/submission_readiness/public-repository-2026-08-30.txt.</x:v>
      </x:c>
      <x:c r="N60" s="14" t="str"/>
      <x:c r="O60" s="14" t="str">
        <x:v>None</x:v>
      </x:c>
      <x:c r="P60" s="14" t="str">
        <x:v>No</x:v>
      </x:c>
      <x:c r="Q60" s="14" t="str">
        <x:v>Published the sanitized repository after full-history secret scanning and synchronized submission wording with the eleven-tool production contract.</x:v>
      </x:c>
      <x:c r="R60" s="14" t="str">
        <x:v>competition_manifest.json; README.md; SUBMISSION.md; web/llms.txt; CHANGELOG.md; qa_evidence/submission_readiness/public-repository-2026-08-30.txt</x:v>
      </x:c>
      <x:c r="S60" s="14" t="str">
        <x:v>e0362b2</x:v>
      </x:c>
      <x:c r="T60" s="14" t="str">
        <x:v>Query GitHub metadata without relying on local Git credentials; request the public repository URL anonymously; verify default branch and detected license.</x:v>
      </x:c>
      <x:c r="U60" s="14" t="str">
        <x:v>PASS — repository visibility PUBLIC; anonymous HTML HTTP 200; GitHub API private=false and license MIT.</x:v>
      </x:c>
      <x:c r="V60" s="14" t="str">
        <x:v>Verified</x:v>
      </x:c>
      <x:c r="W60" s="14" t="str">
        <x:v>No</x:v>
      </x:c>
      <x:c r="X60" s="14" t="str">
        <x:v>Public source: https://github.com/aitrailblazer/mirrorloopai-webmcp-challenge. Publication receipt contains no credentials.</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row r="96">
      <x:c r="A96" s="14" t="str">
        <x:v>WM-019</x:v>
      </x:c>
      <x:c r="B96" s="14" t="str">
        <x:v>Why agents co-pilot this node</x:v>
      </x:c>
      <x:c r="C96" s="14" t="str">
        <x:v>WebMCP positioning and judge demo</x:v>
      </x:c>
      <x:c r="D96" s="14" t="str">
        <x:v>README.md; web/evals/webmcp-evals.json; scripts/validate-webmcp-evals.mjs; WEBMCP_DEMO_SHOT_LIST.html; scripts/validate-submission.mjs</x:v>
      </x:c>
      <x:c r="E96" s="14" t="str">
        <x:v>Public README; deterministic WebMCP corpus; 2:35 demo shot list</x:v>
      </x:c>
      <x:c r="F96" s="14" t="str">
        <x:v>Competition judge agent developer or prospective participant</x:v>
      </x:c>
      <x:c r="G96" s="14" t="str">
        <x:v>As a competition judge or agent developer, I want a concise evidence-backed explanation of why an agent should use MIRROR//LOOP instead of reproducing the flow in chat, so that I can understand its distinctive WebMCP value and human-authority boundaries.</x:v>
      </x:c>
      <x:c r="H96" s="14"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Act I of the 2:35 demo visually contrasts chat-only coordination burden with the site-owned typed contract without claiming a measured standalone-model failure, zero hallucination, zero tracking, or universal zero egress.</x:v>
      </x:c>
      <x:c r="I96" s="14" t="str">
        <x:v>README now contains the exact six-part evidence-backed rationale. The 18-case corpus explicitly uses explain_choice to resolve an ambiguous choice before a separately confirmed answer, while the autonomous-choice boundary produces no tool call. The demo Act I now contrasts chat-only coordination burden with a site-owned WebMCP contract and consistently reports eleven tools.</x:v>
      </x:c>
      <x:c r="J96" s="14" t="str">
        <x:v>Fixed</x:v>
      </x:c>
      <x:c r="K96" s="14" t="str">
        <x:v>Documentation contract + deterministic corpus validation + StrategiX demo artifact validation</x:v>
      </x:c>
      <x:c r="L96" s="14"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6" s="14"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6" s="14" t="str">
        <x:v>The first submission-contract assertion searched for lowercase “optional email delivery” while the README heading phrase began with a capital letter. The demo artifact also contained stale eight-tool and nine-tool labels discovered during baseline inspection.</x:v>
      </x:c>
      <x:c r="O96" s="14" t="str">
        <x:v>Low</x:v>
      </x:c>
      <x:c r="P96" s="14" t="str">
        <x:v>No — completed.</x:v>
      </x:c>
      <x:c r="Q96" s="14" t="str">
        <x:v>Yes — added the six-part README rationale, strengthened exact corpus assertions, revised the Act I contrast, qualified privacy and model-performance claims, and corrected stale demo tool counts.</x:v>
      </x:c>
      <x:c r="R96" s="14"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6" s="14" t="str">
        <x:v>58d7d83</x:v>
      </x:c>
      <x:c r="T96" s="14" t="str">
        <x:v>Repeat all listed validation commands and inspect the generated demo and tracker HTML in a browser.</x:v>
      </x:c>
      <x:c r="U96" s="14" t="str">
        <x:v>PASS — npm run test:webmcp:evals reported 18 cases, 11 tools, and 2 sequences; npm run test:webmcp passed 7 checks; npm test passed 46/46; npm run validate and npm run validate:submission passed; the embedded XML parsed; the Lit artifact rendered 10 shots with 2:35, 11, and 0 metrics and no horizontal overflow.</x:v>
      </x:c>
      <x:c r="V96" s="14" t="str">
        <x:v>Verified</x:v>
      </x:c>
      <x:c r="W96" s="14" t="str">
        <x:v>No</x:v>
      </x:c>
      <x:c r="X96" s="14"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6" s="14" t="str">
        <x:v>Document why autonomous agents co-pilot the node; explicitly test explain_choice ambiguity resolution and confirmed_by_user safety; contrast chat-only coordination burden with WebMCP in demo Act I.</x:v>
      </x:c>
    </x:row>
  </x:sheetData>
  <x:dataValidations count="4">
    <x:dataValidation type="list" sqref="J2:J96">
      <x:formula1>"Not Reviewed,Story Drafted,Ready For Test,Failed Test,Fix In Progress,Fixed,Retest Failed,Verified,Blocked,Needs Product Decision"</x:formula1>
    </x:dataValidation>
    <x:dataValidation type="list" sqref="O2:O96">
      <x:formula1>"Critical,High,Medium,Low,None"</x:formula1>
    </x:dataValidation>
    <x:dataValidation type="list" sqref="K2:K96">
      <x:formula1>"Code Review,Manual UI,Automated Test,Smoke Test,Regression Test,Accessibility Review,Responsive Review,Integration Test"</x:formula1>
    </x:dataValidation>
    <x:dataValidation type="list" sqref="V2:V9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COUNTA('Tracker'!$A$2:$A$96)</x:f>
        <x:v>95</x:v>
      </x:c>
      <x:c r="D4" s="21" t="str">
        <x:v>Critical</x:v>
      </x:c>
      <x:c r="E4" s="21" t="n">
        <x:f>COUNTIFS('Tracker'!$O$2:$O$96,"Critical",'Tracker'!$V$2:$V$96,"&lt;&gt;Verified")</x:f>
        <x:v>3</x:v>
      </x:c>
    </x:row>
    <x:row r="5" ht="22" customHeight="1">
      <x:c r="A5" s="21" t="str">
        <x:v>Current Verified</x:v>
      </x:c>
      <x:c r="B5" s="21" t="n">
        <x:f>COUNTIF('Tracker'!$J$2:$J$96,"Verified")</x:f>
        <x:v>63</x:v>
      </x:c>
      <x:c r="D5" s="21" t="str">
        <x:v>High</x:v>
      </x:c>
      <x:c r="E5" s="21" t="n">
        <x:f>COUNTIFS('Tracker'!$O$2:$O$96,"High",'Tracker'!$V$2:$V$96,"&lt;&gt;Verified")</x:f>
        <x:v>2</x:v>
      </x:c>
    </x:row>
    <x:row r="6" ht="22" customHeight="1">
      <x:c r="A6" s="21" t="str">
        <x:v>Failed Test</x:v>
      </x:c>
      <x:c r="B6" s="21" t="n">
        <x:f>COUNTIF('Tracker'!$J$2:$J$96,"Failed Test")</x:f>
        <x:v>0</x:v>
      </x:c>
      <x:c r="D6" s="21" t="str">
        <x:v>Medium</x:v>
      </x:c>
      <x:c r="E6" s="21" t="n">
        <x:f>COUNTIFS('Tracker'!$O$2:$O$96,"Medium",'Tracker'!$V$2:$V$96,"&lt;&gt;Verified")</x:f>
        <x:v>0</x:v>
      </x:c>
    </x:row>
    <x:row r="7" ht="22" customHeight="1">
      <x:c r="A7" s="21" t="str">
        <x:v>Fix In Progress</x:v>
      </x:c>
      <x:c r="B7" s="21" t="n">
        <x:f>COUNTIF('Tracker'!$J$2:$J$96,"Fix In Progress")</x:f>
        <x:v>0</x:v>
      </x:c>
      <x:c r="D7" s="21" t="str">
        <x:v>Low</x:v>
      </x:c>
      <x:c r="E7" s="21" t="n">
        <x:f>COUNTIFS('Tracker'!$O$2:$O$96,"Low",'Tracker'!$V$2:$V$96,"&lt;&gt;Verified")</x:f>
        <x:v>0</x:v>
      </x:c>
    </x:row>
    <x:row r="8" ht="22" customHeight="1">
      <x:c r="A8" s="21" t="str">
        <x:v>Fixed</x:v>
      </x:c>
      <x:c r="B8" s="21" t="n">
        <x:f>COUNTIF('Tracker'!$J$2:$J$96,"Fixed")</x:f>
        <x:v>27</x:v>
      </x:c>
      <x:c r="D8" s="21" t="str">
        <x:v>Needs Product Decision</x:v>
      </x:c>
      <x:c r="E8" s="21" t="n">
        <x:f>COUNTIF('Tracker'!$W$2:$W$96,"Yes")</x:f>
        <x:v>1</x:v>
      </x:c>
    </x:row>
    <x:row r="9" ht="22" customHeight="1">
      <x:c r="A9" s="21" t="str">
        <x:v>Final Verified</x:v>
      </x:c>
      <x:c r="B9" s="21" t="n">
        <x:f>COUNTIF('Tracker'!$V$2:$V$96,"Verified")</x:f>
        <x:v>90</x:v>
      </x:c>
      <x:c r="D9" s="21" t="str">
        <x:v>Rows With Commit Hash</x:v>
      </x:c>
      <x:c r="E9" s="21" t="n">
        <x:v>62</x:v>
      </x:c>
    </x:row>
    <x:row r="10" ht="22" customHeight="1">
      <x:c r="A10" s="21" t="str">
        <x:v>Blocked</x:v>
      </x:c>
      <x:c r="B10" s="21" t="n">
        <x:f>COUNTIF('Tracker'!$V$2:$V$96,"Blocked")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