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f6521136a3b405b" /></Relationships>
</file>

<file path=xl/workbook.xml><?xml version="1.0" encoding="utf-8"?>
<x:workbook xmlns:x="http://schemas.openxmlformats.org/spreadsheetml/2006/main">
  <x:sheets>
    <x:sheet xmlns:r="http://schemas.openxmlformats.org/officeDocument/2006/relationships" name="Tracker" sheetId="1" r:id="R2f63337870264cde"/>
    <x:sheet xmlns:r="http://schemas.openxmlformats.org/officeDocument/2006/relationships" name="Dashboard" sheetId="2" r:id="Rcae5437ed4264887"/>
    <x:sheet xmlns:r="http://schemas.openxmlformats.org/officeDocument/2006/relationships" name="Lists" sheetId="3" r:id="R2e3304e9ca4e4164"/>
    <x:sheet xmlns:r="http://schemas.openxmlformats.org/officeDocument/2006/relationships" name="Instructions" sheetId="4" r:id="R80f8a2cccca145c6"/>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4f01406825f4af8" /><Relationship Type="http://schemas.openxmlformats.org/officeDocument/2006/relationships/theme" Target="/xl/theme/theme1.xml" Id="R085044263eb5488e" /><Relationship Type="http://schemas.openxmlformats.org/officeDocument/2006/relationships/sharedStrings" Target="/xl/sharedStrings.xml" Id="R2413ebd44e744bc5" /><Relationship Type="http://schemas.openxmlformats.org/officeDocument/2006/relationships/worksheet" Target="/xl/worksheets/sheet1.xml" Id="R2f63337870264cde" /><Relationship Type="http://schemas.openxmlformats.org/officeDocument/2006/relationships/worksheet" Target="/xl/worksheets/sheet2.xml" Id="Rcae5437ed4264887" /><Relationship Type="http://schemas.openxmlformats.org/officeDocument/2006/relationships/worksheet" Target="/xl/worksheets/sheet3.xml" Id="R2e3304e9ca4e4164" /><Relationship Type="http://schemas.openxmlformats.org/officeDocument/2006/relationships/worksheet" Target="/xl/worksheets/sheet4.xml" Id="R80f8a2cccca145c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9740b57</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9740b57</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9740b57</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9740b57</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9740b57</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9740b57</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592c08a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root contains an MIT license, but authenticated GitHub metadata reports the repository as PRIVATE and an anonymous GitHub API request returns 404. Local main is 29 commits ahead of origin/main. A bounded history scan found no common credential signatures, but tracked history includes an unnecessary cloud billing account identifier and a synthetic E2E participant alias that require a publication decision.</x:v>
      </x:c>
      <x:c r="J60" s="14" t="str">
        <x:v>Failed Test</x:v>
      </x:c>
      <x:c r="K60" s="14" t="str">
        <x:v>GitHub metadata inspection</x:v>
      </x:c>
      <x:c r="L60" s="14" t="str">
        <x:v>Query repository visibility and license metadata; verify anonymous public access requirement and top-level license.</x:v>
      </x:c>
      <x:c r="M60" s="14" t="str">
        <x:v>FAIL — repository is private. Root MIT license is detected only through authenticated metadata. Preliminary secret-signature scan passed; public-history metadata sanitization remains required before publication. Evidence: qa_evidence/submission_readiness/deadline-preflight-2026-08-30.txt.</x:v>
      </x:c>
      <x:c r="N60" s="14" t="str">
        <x:v>Repository is private and stale relative to the local submission branch; publishing the current history would also expose unnecessary operational identifiers.</x:v>
      </x:c>
      <x:c r="O60" s="14" t="str">
        <x:v>Critical</x:v>
      </x:c>
      <x:c r="P60" s="14" t="str">
        <x:v>Yes — choose a history-sanitization/publication strategy, push the reviewed challenge commits, change visibility to public, and verify anonymous repository and license access.</x:v>
      </x:c>
      <x:c r="Q60" s="14" t="str">
        <x:v>Expanded public-facing source, license, setup, and submission documentation; repository visibility was intentionally not changed without operator confirmation.</x:v>
      </x:c>
      <x:c r="R60" s="14" t="str">
        <x:v>README.md; SUBMISSION.md; THIRD_PARTY_NOTICES.md</x:v>
      </x:c>
      <x:c r="S60" s="14" t="str">
        <x:v>2f08435</x:v>
      </x:c>
      <x:c r="T60" s="14" t="str">
        <x:v>After operator confirmation, make the repository public and verify anonymous access plus GitHub license detection.</x:v>
      </x:c>
      <x:c r="U60" s="14" t="str">
        <x:v>NOT RUN — publication is an operator-approved external disclosure action.</x:v>
      </x:c>
      <x:c r="V60" s="14" t="str">
        <x:v>Failed Test</x:v>
      </x:c>
      <x:c r="W60" s="14" t="str">
        <x:v>Yes — confirm publication after the final secret/IP review.</x:v>
      </x:c>
      <x:c r="X60" s="14" t="str">
        <x:v>Do not toggle visibility until history disclosure is approved. No credential signatures were found, but absence of known patterns is not proof that every artifact is publication-safe.</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2f08435</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2f08435</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2:35 narrated storyboard exists in SUBMISSION.md, but Video URL remains PENDING and no public YouTube artifact is recorded.</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script ready; public narrated/captioned video absent. Evidence: qa_evidence/submission_readiness/deadline-preflight-2026-08-30.txt.</x:v>
      </x:c>
      <x:c r="N63" s="14" t="str">
        <x:v>No public YouTube demo URL under three minutes is available.</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2f08435</x:v>
      </x:c>
      <x:c r="T63" s="14" t="str">
        <x:v>Validate the timed plan; after operator publication, verify the public YouTube URL, duration, audio, captions, and deployed behavior.</x:v>
      </x:c>
      <x:c r="U63" s="14" t="str">
        <x:v>NOT RUN — recording, upload, captions, public visibility, and playback verification require operator action.</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2f08435</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2f08435</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2f08435</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2f08435</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2f08435</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2f08435</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2d84634</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2d84634</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2d84634</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2d84634</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2d84634</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9d39b92</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e74cc86</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fa341e7</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ddabacf</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7a91f15</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c6e7d4d</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fe40fe4</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825e1a6</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cfc9a70</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068a91f; dc43eb2</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b03a86c; 2ab3824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16bb41c; 75ace45</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7d43acc</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sheetData>
  <x:dataValidations count="4">
    <x:dataValidation type="list" sqref="J2:J90">
      <x:formula1>"Not Reviewed,Story Drafted,Ready For Test,Failed Test,Fix In Progress,Fixed,Retest Failed,Verified,Blocked,Needs Product Decision"</x:formula1>
    </x:dataValidation>
    <x:dataValidation type="list" sqref="O2:O90">
      <x:formula1>"Critical,High,Medium,Low,None"</x:formula1>
    </x:dataValidation>
    <x:dataValidation type="list" sqref="K2:K90">
      <x:formula1>"Code Review,Manual UI,Automated Test,Smoke Test,Regression Test,Accessibility Review,Responsive Review,Integration Test"</x:formula1>
    </x:dataValidation>
    <x:dataValidation type="list" sqref="V2:V90">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COUNTA('Tracker'!$A$2:$A$90)</x:f>
        <x:v>89</x:v>
      </x:c>
      <x:c r="D4" s="21" t="str">
        <x:v>Critical</x:v>
      </x:c>
      <x:c r="E4" s="21" t="n">
        <x:f>COUNTIFS('Tracker'!$O$2:$O$90,"Critical",'Tracker'!$V$2:$V$90,"&lt;&gt;Verified")</x:f>
        <x:v>4</x:v>
      </x:c>
    </x:row>
    <x:row r="5" ht="22" customHeight="1">
      <x:c r="A5" s="21" t="str">
        <x:v>Current Verified</x:v>
      </x:c>
      <x:c r="B5" s="21" t="n">
        <x:f>COUNTIF('Tracker'!$J$2:$J$90,"Verified")</x:f>
        <x:v>59</x:v>
      </x:c>
      <x:c r="D5" s="21" t="str">
        <x:v>High</x:v>
      </x:c>
      <x:c r="E5" s="21" t="n">
        <x:f>COUNTIFS('Tracker'!$O$2:$O$90,"High",'Tracker'!$V$2:$V$90,"&lt;&gt;Verified")</x:f>
        <x:v>2</x:v>
      </x:c>
    </x:row>
    <x:row r="6" ht="22" customHeight="1">
      <x:c r="A6" s="21" t="str">
        <x:v>Failed Test</x:v>
      </x:c>
      <x:c r="B6" s="21" t="n">
        <x:f>COUNTIF('Tracker'!$J$2:$J$90,"Failed Test")</x:f>
        <x:v>1</x:v>
      </x:c>
      <x:c r="D6" s="21" t="str">
        <x:v>Medium</x:v>
      </x:c>
      <x:c r="E6" s="21" t="n">
        <x:f>COUNTIFS('Tracker'!$O$2:$O$90,"Medium",'Tracker'!$V$2:$V$90,"&lt;&gt;Verified")</x:f>
        <x:v>0</x:v>
      </x:c>
    </x:row>
    <x:row r="7" ht="22" customHeight="1">
      <x:c r="A7" s="21" t="str">
        <x:v>Fix In Progress</x:v>
      </x:c>
      <x:c r="B7" s="21" t="n">
        <x:f>COUNTIF('Tracker'!$J$2:$J$90,"Fix In Progress")</x:f>
        <x:v>0</x:v>
      </x:c>
      <x:c r="D7" s="21" t="str">
        <x:v>Low</x:v>
      </x:c>
      <x:c r="E7" s="21" t="n">
        <x:f>COUNTIFS('Tracker'!$O$2:$O$90,"Low",'Tracker'!$V$2:$V$90,"&lt;&gt;Verified")</x:f>
        <x:v>0</x:v>
      </x:c>
    </x:row>
    <x:row r="8" ht="22" customHeight="1">
      <x:c r="A8" s="21" t="str">
        <x:v>Fixed</x:v>
      </x:c>
      <x:c r="B8" s="21" t="n">
        <x:f>COUNTIF('Tracker'!$J$2:$J$90,"Fixed")</x:f>
        <x:v>24</x:v>
      </x:c>
      <x:c r="D8" s="21" t="str">
        <x:v>Needs Product Decision</x:v>
      </x:c>
      <x:c r="E8" s="21" t="n">
        <x:f>COUNTIF('Tracker'!$W$2:$W$90,"Yes")</x:f>
        <x:v>1</x:v>
      </x:c>
    </x:row>
    <x:row r="9" ht="22" customHeight="1">
      <x:c r="A9" s="21" t="str">
        <x:v>Final Verified</x:v>
      </x:c>
      <x:c r="B9" s="21" t="n">
        <x:f>COUNTIF('Tracker'!$V$2:$V$90,"Verified")</x:f>
        <x:v>83</x:v>
      </x:c>
      <x:c r="D9" s="21" t="str">
        <x:v>Rows With Commit Hash</x:v>
      </x:c>
      <x:c r="E9" s="21" t="n">
        <x:v>56</x:v>
      </x:c>
    </x:row>
    <x:row r="10" ht="22" customHeight="1">
      <x:c r="A10" s="21" t="str">
        <x:v>Blocked</x:v>
      </x:c>
      <x:c r="B10" s="21" t="n">
        <x:f>COUNTIF('Tracker'!$V$2:$V$90,"Blocked")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