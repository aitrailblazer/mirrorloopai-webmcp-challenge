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a39fe540274b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b40b8ef897474433"/>
    <x:sheet xmlns:r="http://schemas.openxmlformats.org/officeDocument/2006/relationships" name="Dashboard" sheetId="2" r:id="R0f33018b0dfa4ee5"/>
    <x:sheet xmlns:r="http://schemas.openxmlformats.org/officeDocument/2006/relationships" name="Lists" sheetId="3" r:id="Rb356268cd30b40f5"/>
    <x:sheet xmlns:r="http://schemas.openxmlformats.org/officeDocument/2006/relationships" name="Instructions" sheetId="4" r:id="R1ff9c1e9eff342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4a51b31af64e57" /><Relationship Type="http://schemas.openxmlformats.org/officeDocument/2006/relationships/theme" Target="/xl/theme/theme1.xml" Id="Rf839b0015a8f4eff" /><Relationship Type="http://schemas.openxmlformats.org/officeDocument/2006/relationships/sharedStrings" Target="/xl/sharedStrings.xml" Id="R84009958b0754ddc" /><Relationship Type="http://schemas.openxmlformats.org/officeDocument/2006/relationships/worksheet" Target="/xl/worksheets/sheet1.xml" Id="Rb40b8ef897474433" /><Relationship Type="http://schemas.openxmlformats.org/officeDocument/2006/relationships/worksheet" Target="/xl/worksheets/sheet2.xml" Id="R0f33018b0dfa4ee5" /><Relationship Type="http://schemas.openxmlformats.org/officeDocument/2006/relationships/worksheet" Target="/xl/worksheets/sheet3.xml" Id="Rb356268cd30b40f5" /><Relationship Type="http://schemas.openxmlformats.org/officeDocument/2006/relationships/worksheet" Target="/xl/worksheets/sheet4.xml" Id="R1ff9c1e9eff3423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﻿Feature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  <x:row r="78">
      <x:c r="A78" s="14" t="str">
        <x:v>RES-009</x:v>
      </x:c>
      <x:c r="B78" s="14" t="str">
        <x:v>Campaign capability claim coverage</x:v>
      </x:c>
      <x:c r="C78" s="14" t="str">
        <x:v>WebMCP evaluation and public claims</x:v>
      </x:c>
      <x:c r="D78" s="14" t="str">
        <x:v>web/lib/webmcp.js; web/app.js; web/data/quiz.json; web/data/cards.json; web/data/shop.json; web/evals/webmcp-campaign-evals.json; WEBMCP_CAMPAIGN_CLAIM_AUDIT.html</x:v>
      </x:c>
      <x:c r="E78" s="14" t="str">
        <x:v>Public WebMCP campaign posts and live site</x:v>
      </x:c>
      <x:c r="F78" s="14" t="str">
        <x:v>Prospective visitor and competition judge</x:v>
      </x:c>
      <x:c r="G78" s="14" t="str">
        <x:v>As a prospective visitor, I want every advertised agent capability to match the live site, so that I know what the agent can do and which actions remain mine.</x:v>
      </x:c>
      <x:c r="H78" s="14" t="str">
        <x:v>Campaign scenarios map to the eight production tools and visible UI: guided 12-question reflection, plain-language explanation, explicitly confirmed answers with visible state changes, deterministic local scoring with one bounded action, Card 004 lookup, read-only digital-edition recommendation, and human-controlled Stripe checkout. Unsupported ephemeris, physical-deck, price, automatic diagnosis, and zero-server-leakage claims are explicitly rejected or rewritten.</x:v>
      </x:c>
      <x:c r="I78" s="14" t="str">
        <x:v>Production retains eight bounded tools. Supported reflection, Card 004, and digital-edition scenarios map to real tools. Unsupported ephemeris/Yellow Ray/transit, physical-deck/price, diagnosis, automatic email, cart, and payment claims are explicitly removed from publishable copy and covered as no-tool boundaries.</x:v>
      </x:c>
      <x:c r="J78" s="14" t="str">
        <x:v>Verified</x:v>
      </x:c>
      <x:c r="K78" s="14" t="str">
        <x:v>Source-to-claim audit + deterministic corpus + live browser-agent evaluation</x:v>
      </x:c>
      <x:c r="L78" s="14" t="str">
        <x:v>Map every numbered post/thread claim to production code and tool contracts; validate a dedicated campaign corpus; run each campaign prompt through the same live WebMCP-capable agent; verify supported calls, explicit-confirmation behavior, visible DOM synchronization, and no unsupported purchase, physical-product, ephemeris, or email claims.</x:v>
      </x:c>
      <x:c r="M78" s="14" t="str">
        <x:v>PASS — deterministic 10-case corpus validation; live Gemini 2.5 Flash + WebMCP Inspector run selected the exact expected tool sequence in 10/10 cases, preserved required order in 10/10, achieved strict call-and-argument equality in 8/10, and invoked no tool in 5/5 protected or unsupported cases. Campaign HTML/XML parsed; desktop and 390px mobile had no page overflow.</x:v>
      </x:c>
      <x:c r="N78" s="14" t="str">
        <x:v>Resolved — the supplied draft overstated the product with nonexistent ephemeris, Yellow Ray, diagnosis, physical-deck, fixed-price, autonomous-commerce, and universal zero-server-leakage claims.</x:v>
      </x:c>
      <x:c r="O78" s="14" t="str">
        <x:v>High</x:v>
      </x:c>
      <x:c r="P78" s="14" t="str">
        <x:v>Yes — completed.</x:v>
      </x:c>
      <x:c r="Q78" s="14" t="str">
        <x:v>Added a dedicated campaign corpus and validators, generalized the live runner for named corpora/evidence roots, ran the production-discovered eight-tool contract through Gemini, and generated a claim-status matrix plus corrected copy-ready post/thread without expanding tool authority.</x:v>
      </x:c>
      <x:c r="R78" s="14" t="str">
        <x:v>web/evals/webmcp-campaign-evals.json; scripts/validate-webmcp-campaign-evals.mjs; scripts/run-webmcp-agent-evals.mjs; scripts/validate-webmcp-campaign-agent-evidence.mjs; scripts/build-webmcp-campaign-claim-audit.mjs; WEBMCP_CAMPAIGN_CLAIM_AUDIT.html; README.md; SUBMISSION.md; package.json; CHANGELOG.md; qa_evidence/webmcp_campaign_agent_eval/**; qa_evidence/webmcp_campaign_claim_audit/**</x:v>
      </x:c>
      <x:c r="S78" s="14" t="str">
        <x:v>e74cc86</x:v>
      </x:c>
      <x:c r="T78" s="14" t="str">
        <x:v>Run npm run test:webmcp:campaign-evals, npm run test:webmcp:campaign-evidence, npm run test:webmcp:evals, npm test, npm run validate, npm run validate:submission; parse embedded XML; render at 1440px and 390px and assert document scroll width equals viewport.</x:v>
      </x:c>
      <x:c r="U78" s="14" t="str">
        <x:v>PASS — 10/10 tool-selection/order cases, 5/5 no-tool boundaries, 0 forbidden calls, 25/25 web tests, site validation, submission validation, HTML/XML parse, and responsive overflow checks.</x:v>
      </x:c>
      <x:c r="V78" s="14" t="str">
        <x:v>Verified</x:v>
      </x:c>
      <x:c r="W78" s="14" t="str">
        <x:v>No</x:v>
      </x:c>
      <x:c r="X78" s="14" t="str">
        <x:v>Strict 8/10 reflects two harmless argument normalizations: the model removed the possessive my from focus_area and omitted optional collection_scope, which defaulted to arc. Canonical live evidence: qa_evidence/webmcp_campaign_agent_eval/latest.json. Claim contract: WEBMCP_CAMPAIGN_CLAIM_AUDIT.html.</x:v>
      </x:c>
      <x:c r="Y78" s="14" t="str">
        <x:v>Make sure the proposed WebMCP master post and four-tweet thread cases are covered.</x:v>
      </x:c>
    </x:row>
  </x:sheetData>
  <x:dataValidations count="4">
    <x:dataValidation type="list" sqref="J2:J78">
      <x:formula1>"Not Reviewed,Story Drafted,Ready For Test,Failed Test,Fix In Progress,Fixed,Retest Failed,Verified,Blocked,Needs Product Decision"</x:formula1>
    </x:dataValidation>
    <x:dataValidation type="list" sqref="O2:O78">
      <x:formula1>"Critical,High,Medium,Low,None"</x:formula1>
    </x:dataValidation>
    <x:dataValidation type="list" sqref="K2:K78">
      <x:formula1>"Code Review,Manual UI,Automated Test,Smoke Test,Regression Test,Accessibility Review,Responsive Review,Integration Test"</x:formula1>
    </x:dataValidation>
    <x:dataValidation type="list" sqref="V2:V78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COUNTA('Tracker'!$A$2:$A$78)</x:f>
        <x:v>77</x:v>
      </x:c>
      <x:c r="D4" s="21" t="str">
        <x:v>Critical</x:v>
      </x:c>
      <x:c r="E4" s="21" t="n">
        <x:f>COUNTIFS('Tracker'!$O$2:$O$78,"Critical",'Tracker'!$V$2:$V$78,"&lt;&gt;Verified")</x:f>
        <x:v>4</x:v>
      </x:c>
    </x:row>
    <x:row r="5" ht="22" customHeight="1">
      <x:c r="A5" s="21" t="str">
        <x:v>Current Verified</x:v>
      </x:c>
      <x:c r="B5" s="21" t="n">
        <x:f>COUNTIF('Tracker'!$J$2:$J$78,"Verified")</x:f>
        <x:v>54</x:v>
      </x:c>
      <x:c r="D5" s="21" t="str">
        <x:v>High</x:v>
      </x:c>
      <x:c r="E5" s="21" t="n">
        <x:f>COUNTIFS('Tracker'!$O$2:$O$78,"High",'Tracker'!$V$2:$V$78,"&lt;&gt;Verified")</x:f>
        <x:v>1</x:v>
      </x:c>
    </x:row>
    <x:row r="6" ht="22" customHeight="1">
      <x:c r="A6" s="21" t="str">
        <x:v>Failed Test</x:v>
      </x:c>
      <x:c r="B6" s="21" t="n">
        <x:f>COUNTIF('Tracker'!$J$2:$J$78,"Failed Test")</x:f>
        <x:v>1</x:v>
      </x:c>
      <x:c r="D6" s="21" t="str">
        <x:v>Medium</x:v>
      </x:c>
      <x:c r="E6" s="21" t="n">
        <x:f>COUNTIFS('Tracker'!$O$2:$O$78,"Medium",'Tracker'!$V$2:$V$78,"&lt;&gt;Verified")</x:f>
        <x:v>0</x:v>
      </x:c>
    </x:row>
    <x:row r="7" ht="22" customHeight="1">
      <x:c r="A7" s="21" t="str">
        <x:v>Fix In Progress</x:v>
      </x:c>
      <x:c r="B7" s="21" t="n">
        <x:f>COUNTIF('Tracker'!$J$2:$J$78,"Fix In Progress")</x:f>
        <x:v>0</x:v>
      </x:c>
      <x:c r="D7" s="21" t="str">
        <x:v>Low</x:v>
      </x:c>
      <x:c r="E7" s="21" t="n">
        <x:f>COUNTIFS('Tracker'!$O$2:$O$78,"Low",'Tracker'!$V$2:$V$78,"&lt;&gt;Verified")</x:f>
        <x:v>0</x:v>
      </x:c>
    </x:row>
    <x:row r="8" ht="22" customHeight="1">
      <x:c r="A8" s="21" t="str">
        <x:v>Fixed</x:v>
      </x:c>
      <x:c r="B8" s="21" t="n">
        <x:f>COUNTIF('Tracker'!$J$2:$J$78,"Fixed")</x:f>
        <x:v>18</x:v>
      </x:c>
      <x:c r="D8" s="21" t="str">
        <x:v>Needs Product Decision</x:v>
      </x:c>
      <x:c r="E8" s="21" t="n">
        <x:f>COUNTIF('Tracker'!$W$2:$W$78,"Yes")</x:f>
        <x:v>1</x:v>
      </x:c>
    </x:row>
    <x:row r="9" ht="22" customHeight="1">
      <x:c r="A9" s="21" t="str">
        <x:v>Final Verified</x:v>
      </x:c>
      <x:c r="B9" s="21" t="n">
        <x:f>COUNTIF('Tracker'!$V$2:$V$78,"Verified")</x:f>
        <x:v>72</x:v>
      </x:c>
      <x:c r="D9" s="21" t="str">
        <x:v>Rows With Commit Hash</x:v>
      </x:c>
      <x:c r="E9" s="21" t="n">
        <x:v>45</x:v>
      </x:c>
    </x:row>
    <x:row r="10" ht="22" customHeight="1">
      <x:c r="A10" s="21" t="str">
        <x:v>Blocked</x:v>
      </x:c>
      <x:c r="B10" s="21" t="n">
        <x:f>COUNTIF('Tracker'!$V$2:$V$78,"Blocked")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