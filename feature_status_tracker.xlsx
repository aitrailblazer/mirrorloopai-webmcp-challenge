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37a2545e5dc4010" /></Relationships>
</file>

<file path=xl/workbook.xml><?xml version="1.0" encoding="utf-8"?>
<x:workbook xmlns:x="http://schemas.openxmlformats.org/spreadsheetml/2006/main">
  <x:sheets>
    <x:sheet xmlns:r="http://schemas.openxmlformats.org/officeDocument/2006/relationships" name="Tracker" sheetId="1" r:id="Rcce4e14604c94425"/>
    <x:sheet xmlns:r="http://schemas.openxmlformats.org/officeDocument/2006/relationships" name="Dashboard" sheetId="2" r:id="Rb46236e43e5c4539"/>
    <x:sheet xmlns:r="http://schemas.openxmlformats.org/officeDocument/2006/relationships" name="Lists" sheetId="3" r:id="Rdfa8e33205aa461a"/>
    <x:sheet xmlns:r="http://schemas.openxmlformats.org/officeDocument/2006/relationships" name="Instructions" sheetId="4" r:id="R8f991dd4fabc4fa4"/>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d678030a039432d" /><Relationship Type="http://schemas.openxmlformats.org/officeDocument/2006/relationships/theme" Target="/xl/theme/theme1.xml" Id="R9e4128abedee4567" /><Relationship Type="http://schemas.openxmlformats.org/officeDocument/2006/relationships/sharedStrings" Target="/xl/sharedStrings.xml" Id="R845df81bf5024f87" /><Relationship Type="http://schemas.openxmlformats.org/officeDocument/2006/relationships/worksheet" Target="/xl/worksheets/sheet1.xml" Id="Rcce4e14604c94425" /><Relationship Type="http://schemas.openxmlformats.org/officeDocument/2006/relationships/worksheet" Target="/xl/worksheets/sheet2.xml" Id="Rb46236e43e5c4539" /><Relationship Type="http://schemas.openxmlformats.org/officeDocument/2006/relationships/worksheet" Target="/xl/worksheets/sheet3.xml" Id="Rdfa8e33205aa461a" /><Relationship Type="http://schemas.openxmlformats.org/officeDocument/2006/relationships/worksheet" Target="/xl/worksheets/sheet4.xml" Id="R8f991dd4fabc4fa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FAIL — GitHub reports visibility PRIVATE. GitHub detects the top-level MIT license, but the mandatory anonymous public-source requirement is not met.</x:v>
      </x:c>
      <x:c r="J60" s="14" t="str">
        <x:v>Failed Test</x:v>
      </x:c>
      <x:c r="K60" s="14" t="str">
        <x:v>GitHub metadata inspection</x:v>
      </x:c>
      <x:c r="L60" s="14" t="str">
        <x:v>Query repository visibility and license metadata; verify anonymous public access requirement and top-level license.</x:v>
      </x:c>
      <x:c r="M60" s="14" t="str">
        <x:v>FAIL — visibility is PRIVATE; MIT license is detected. Evidence: qa_evidence/feature-audit-2026-08-30/commands/devpost-submission-baseline.txt.</x:v>
      </x:c>
      <x:c r="N60" s="14" t="str">
        <x:v>Repository is private, while the official rules require a public repository.</x:v>
      </x:c>
      <x:c r="O60" s="14" t="str">
        <x:v>Critical</x:v>
      </x:c>
      <x:c r="P60" s="14" t="str">
        <x:v>Yes — external repository setting change requires operator confirmation.</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repository remains private; external publication gate is still open.</x:v>
      </x:c>
      <x:c r="V60" s="14" t="str">
        <x:v>Failed Test</x:v>
      </x:c>
      <x:c r="W60" s="14" t="str">
        <x:v>Yes — confirm publication after the final secret/IP review.</x:v>
      </x:c>
      <x:c r="X60" s="14" t="str">
        <x:v>Official source: https://webmcp.devpost.com/ and https://webmcp.devpost.com/rules. Live source snapshot and SHA-256: qa_evidence/feature-audit-2026-08-30/commands/devpost-live-source-verification.txt.</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FAIL — no public YouTube URL or timed sub-three-minute recording plan exists in the repository.</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no video or demo-plan artifact was found. Evidence: qa_evidence/feature-audit-2026-08-30/commands/devpost-submission-baseline.txt.</x:v>
      </x:c>
      <x:c r="N63" s="14" t="str">
        <x:v>The required public demo video is absent.</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PARTIAL PASS — local 2:35 plan is validated; public YouTube URL remains pending. Evidence: qa_evidence/feature-audit-2026-08-30/commands/devpost-submission-package-final.txt.</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FAIL — authenticated Devpost dashboard shows no project; local field-by-field submission package is also absent.</x:v>
      </x:c>
      <x:c r="J65" s="14" t="str">
        <x:v>Needs Product Decision</x:v>
      </x:c>
      <x:c r="K65" s="14" t="str">
        <x:v>Authenticated browser + checklist audit</x:v>
      </x:c>
      <x:c r="L65" s="14" t="str">
        <x:v>Inspect the entrant dashboard for an existing project; compare local package with all required Devpost fields.</x:v>
      </x:c>
      <x:c r="M65" s="14" t="str">
        <x:v>FAIL — dashboard says “Start a Project to begin your submission.” Evidence: qa_evidence/feature-audit-2026-08-30/browser/devpost-dashboard-and-browser-state.json.</x:v>
      </x:c>
      <x:c r="N65" s="14" t="str">
        <x:v>No Devpost project has been created.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PARTIAL PASS — complete local field package exists; authenticated dashboard still has no project. Evidence: qa_evidence/feature-audit-2026-08-30/commands/devpost-submission-package-final.txt; qa_evidence/feature-audit-2026-08-30/browser/devpost-dashboard-and-browser-state.json.</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PARTIAL — MIT license and private-corpus exclusions are present, but entrant eligibility, ownership authorization, and a consolidated third-party notice remain unresolved.</x:v>
      </x:c>
      <x:c r="J66" s="14" t="str">
        <x:v>Needs Product Decision</x:v>
      </x:c>
      <x:c r="K66" s="14" t="str">
        <x:v>Compliance checklist</x:v>
      </x:c>
      <x:c r="L66" s="14" t="str">
        <x:v>Review rules, licenses, asset/source statements, dependency/service notices, and identify attestations that only the operator can confirm.</x:v>
      </x:c>
      <x:c r="M66" s="14" t="str">
        <x:v>PARTIAL — repository safeguards exist; operator attestations are unresolved. Evidence: qa_evidence/feature-audit-2026-08-30/commands/devpost-requirements-audit.txt; README.md; LICENSE.</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PARTIAL PASS — notices and checklist are complete; entrant eligibility and rights assertions require operator confirmation.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cfc9a70</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068a91f; dc43eb2</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b03a86c; 2ab3824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Fixed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c r="T88" s="14" t="str">
        <x:v>Run service/handler/email tests, all Go tests/vet and web suites; render successful confirmation at desktop/mobile; verify production non-mutating routes and deploy only after local confirmation semantics pass.</x:v>
      </x:c>
      <x:c r="U88" s="14" t="str">
        <x:v>LOCAL PASS — successful POST returned HTTP 200 with canonical compact result, bounded action, second-email and cross-device explanation; no email address or individual-answer payload appeared. All Go tests/vet, 28 web tests, site validation, 15-case WebMCP corpus, Stripe inventory, and desktop/mobile Chrome renders passed with no overflow or console errors. Production deployment pending.</x:v>
      </x:c>
      <x:c r="V88" s="14" t="str">
        <x:v>Fixed</x:v>
      </x:c>
      <x:c r="W88" s="14" t="str">
        <x:v>No</x:v>
      </x:c>
      <x:c r="X88" s="14" t="str">
        <x:v>Local visual evidence: qa_evidence/post_confirmation_cross_device/. The browser run used a 12-of-12 test result to make all result fields deterministic.</x:v>
      </x:c>
      <x:c r="Y88" s="14" t="str">
        <x:v>Clicked and verified, then I do not see what to remember; it is on a different computer.</x:v>
      </x:c>
    </x:row>
  </x:sheetData>
  <x:dataValidations count="4">
    <x:dataValidation type="list" sqref="J2:J88">
      <x:formula1>"Not Reviewed,Story Drafted,Ready For Test,Failed Test,Fix In Progress,Fixed,Retest Failed,Verified,Blocked,Needs Product Decision"</x:formula1>
    </x:dataValidation>
    <x:dataValidation type="list" sqref="O2:O88">
      <x:formula1>"Critical,High,Medium,Low,None"</x:formula1>
    </x:dataValidation>
    <x:dataValidation type="list" sqref="K2:K88">
      <x:formula1>"Code Review,Manual UI,Automated Test,Smoke Test,Regression Test,Accessibility Review,Responsive Review,Integration Test"</x:formula1>
    </x:dataValidation>
    <x:dataValidation type="list" sqref="V2:V88">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COUNTA('Tracker'!$A$2:$A$88)</x:f>
        <x:v>87</x:v>
      </x:c>
      <x:c r="D4" s="21" t="str">
        <x:v>Critical</x:v>
      </x:c>
      <x:c r="E4" s="21" t="n">
        <x:f>COUNTIFS('Tracker'!$O$2:$O$88,"Critical",'Tracker'!$V$2:$V$88,"&lt;&gt;Verified")</x:f>
        <x:v>4</x:v>
      </x:c>
    </x:row>
    <x:row r="5" ht="22" customHeight="1">
      <x:c r="A5" s="21" t="str">
        <x:v>Current Verified</x:v>
      </x:c>
      <x:c r="B5" s="21" t="n">
        <x:f>COUNTIF('Tracker'!$J$2:$J$88,"Verified")</x:f>
        <x:v>57</x:v>
      </x:c>
      <x:c r="D5" s="21" t="str">
        <x:v>High</x:v>
      </x:c>
      <x:c r="E5" s="21" t="n">
        <x:f>COUNTIFS('Tracker'!$O$2:$O$88,"High",'Tracker'!$V$2:$V$88,"&lt;&gt;Verified")</x:f>
        <x:v>2</x:v>
      </x:c>
    </x:row>
    <x:row r="6" ht="22" customHeight="1">
      <x:c r="A6" s="21" t="str">
        <x:v>Failed Test</x:v>
      </x:c>
      <x:c r="B6" s="21" t="n">
        <x:f>COUNTIF('Tracker'!$J$2:$J$88,"Failed Test")</x:f>
        <x:v>1</x:v>
      </x:c>
      <x:c r="D6" s="21" t="str">
        <x:v>Medium</x:v>
      </x:c>
      <x:c r="E6" s="21" t="n">
        <x:f>COUNTIFS('Tracker'!$O$2:$O$88,"Medium",'Tracker'!$V$2:$V$88,"&lt;&gt;Verified")</x:f>
        <x:v>0</x:v>
      </x:c>
    </x:row>
    <x:row r="7" ht="22" customHeight="1">
      <x:c r="A7" s="21" t="str">
        <x:v>Fix In Progress</x:v>
      </x:c>
      <x:c r="B7" s="21" t="n">
        <x:f>COUNTIF('Tracker'!$J$2:$J$88,"Fix In Progress")</x:f>
        <x:v>0</x:v>
      </x:c>
      <x:c r="D7" s="21" t="str">
        <x:v>Low</x:v>
      </x:c>
      <x:c r="E7" s="21" t="n">
        <x:f>COUNTIFS('Tracker'!$O$2:$O$88,"Low",'Tracker'!$V$2:$V$88,"&lt;&gt;Verified")</x:f>
        <x:v>0</x:v>
      </x:c>
    </x:row>
    <x:row r="8" ht="22" customHeight="1">
      <x:c r="A8" s="21" t="str">
        <x:v>Fixed</x:v>
      </x:c>
      <x:c r="B8" s="21" t="n">
        <x:f>COUNTIF('Tracker'!$J$2:$J$88,"Fixed")</x:f>
        <x:v>25</x:v>
      </x:c>
      <x:c r="D8" s="21" t="str">
        <x:v>Needs Product Decision</x:v>
      </x:c>
      <x:c r="E8" s="21" t="n">
        <x:f>COUNTIF('Tracker'!$W$2:$W$88,"Yes")</x:f>
        <x:v>1</x:v>
      </x:c>
    </x:row>
    <x:row r="9" ht="22" customHeight="1">
      <x:c r="A9" s="21" t="str">
        <x:v>Final Verified</x:v>
      </x:c>
      <x:c r="B9" s="21" t="n">
        <x:f>COUNTIF('Tracker'!$V$2:$V$88,"Verified")</x:f>
        <x:v>81</x:v>
      </x:c>
      <x:c r="D9" s="21" t="str">
        <x:v>Rows With Commit Hash</x:v>
      </x:c>
      <x:c r="E9" s="21" t="n">
        <x:v>54</x:v>
      </x:c>
    </x:row>
    <x:row r="10" ht="22" customHeight="1">
      <x:c r="A10" s="21" t="str">
        <x:v>Blocked</x:v>
      </x:c>
      <x:c r="B10" s="21" t="n">
        <x:f>COUNTIF('Tracker'!$V$2:$V$88,"Blocked")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