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f5f98052cf45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0d51b633707c49b6"/>
    <x:sheet xmlns:r="http://schemas.openxmlformats.org/officeDocument/2006/relationships" name="Dashboard" sheetId="2" r:id="R03019ef34d944735"/>
    <x:sheet xmlns:r="http://schemas.openxmlformats.org/officeDocument/2006/relationships" name="Lists" sheetId="3" r:id="R4ec35fda21f84e2c"/>
    <x:sheet xmlns:r="http://schemas.openxmlformats.org/officeDocument/2006/relationships" name="Instructions" sheetId="4" r:id="R1699689c66d64c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b1adedef4a4135" /><Relationship Type="http://schemas.openxmlformats.org/officeDocument/2006/relationships/theme" Target="/xl/theme/theme1.xml" Id="Rb11a8cb2a75146b3" /><Relationship Type="http://schemas.openxmlformats.org/officeDocument/2006/relationships/sharedStrings" Target="/xl/sharedStrings.xml" Id="Rd253f5ecab1b4c2a" /><Relationship Type="http://schemas.openxmlformats.org/officeDocument/2006/relationships/worksheet" Target="/xl/worksheets/sheet1.xml" Id="R0d51b633707c49b6" /><Relationship Type="http://schemas.openxmlformats.org/officeDocument/2006/relationships/worksheet" Target="/xl/worksheets/sheet2.xml" Id="R03019ef34d944735" /><Relationship Type="http://schemas.openxmlformats.org/officeDocument/2006/relationships/worksheet" Target="/xl/worksheets/sheet3.xml" Id="R4ec35fda21f84e2c" /><Relationship Type="http://schemas.openxmlformats.org/officeDocument/2006/relationships/worksheet" Target="/xl/worksheets/sheet4.xml" Id="R1699689c66d64c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﻿Feature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  <x:row r="76">
      <x:c r="A76" s="14" t="str">
        <x:v>RES-007</x:v>
      </x:c>
      <x:c r="B76" s="14" t="str">
        <x:v>Live WebMCP agent model-selection evaluation</x:v>
      </x:c>
      <x:c r="C76" s="14" t="str">
        <x:v>WebMCP evaluation</x:v>
      </x:c>
      <x:c r="D76" s="14" t="str">
        <x:v>web/evals/webmcp-evals.json; scripts/run-webmcp-agent-evals.mjs; scripts/build-webmcp-agent-eval-report.mjs; scripts/validate-webmcp-agent-evidence.mjs; WEBMCP_AGENT_EVAL_REPORT.html; qa_evidence/webmcp_agent_eval/</x:v>
      </x:c>
      <x:c r="E76" s="14" t="str">
        <x:v>Actual WebMCP-capable browser agent</x:v>
      </x:c>
      <x:c r="F76" s="14" t="str">
        <x:v>Competition judge and maintainer</x:v>
      </x:c>
      <x:c r="G76" s="14" t="str">
        <x:v>As a judge or maintainer, I want the 15 intent cases run through an actual WebMCP-capable agent, so that observed tool selection, arguments, ordering, and protected no-tool behavior are measured rather than inferred.</x:v>
      </x:c>
      <x:c r="H76" s="14" t="str">
        <x:v>The named agent/runtime executes all 15 prompts against the production page’s eight native WebMCP tools; raw prompts, tool calls, arguments, outputs, runtime/model identity, timestamps, and failures are preserved; scoring reports exact-call, tool-selection, argument, order, and no-tool-boundary accuracy without treating direct CDP invocation or deterministic fixtures as model selection.</x:v>
      </x:c>
      <x:c r="I76" s="14" t="str">
        <x:v>Gemini 2.5 Flash ran all 15 frozen prompts using eight browser-discovered production WebMCP contracts and executed selected calls through WebMCP Inspector 1.9.13. Strict exact selection+arguments passed 12/15; required tools were in order for 14/15; expected-call argument match was 12/14; literal no-tool boundaries passed 4/5; forbidden mutations were 0/5.</x:v>
      </x:c>
      <x:c r="J76" s="14" t="str">
        <x:v>Verified</x:v>
      </x:c>
      <x:c r="K76" s="14" t="str">
        <x:v>Live browser-agent evaluation + deterministic scorer</x:v>
      </x:c>
      <x:c r="L76" s="14" t="str">
        <x:v>Identify a real WebMCP-capable agent; verify native eight-tool discovery; run every case in an isolated session; capture raw tool invocations; compare with expectedCalls; report exact, selection, argument, order, and no-tool metrics.</x:v>
      </x:c>
      <x:c r="M76" s="14" t="str">
        <x:v>PASS WITH MEASURED VARIANCE — complete live run recorded at qa_evidence/webmcp_agent_eval/2026-08-29T23-46-14Z/agent-eval-results.json; credential-free latest evidence SHA-256 3643f03ba4f1dce6fd57ad33b3c0015f5345f03632d359c43af6d1849bf2379a.</x:v>
      </x:c>
      <x:c r="N76" s="14" t="str">
        <x:v>Three strict mismatches: intent-start normalized focus text and added a read-only orientation call; sequence-orient-before-answer stopped before the oracle’s unconfirmed mutation; boundary-ambiguous-choice made one read-only state check.</x:v>
      </x:c>
      <x:c r="O76" s="14" t="str">
        <x:v>Medium</x:v>
      </x:c>
      <x:c r="P76" s="14" t="str">
        <x:v>Record frozen results without post-hoc corpus edits; separately track the explicit-confirmation oracle conflict.</x:v>
      </x:c>
      <x:c r="Q76" s="14" t="str">
        <x:v>Added an authenticated Vertex Gemini runner over browser-discovered WebMCP contracts, per-case raw evidence, deterministic scoring, and a self-contained evidence report.</x:v>
      </x:c>
      <x:c r="R76" s="14" t="str">
        <x:v>scripts/run-webmcp-agent-evals.mjs; scripts/build-webmcp-agent-eval-report.mjs; scripts/validate-webmcp-agent-evidence.mjs; WEBMCP_AGENT_EVAL_REPORT.html; qa_evidence/webmcp_agent_eval/; README.md; SUBMISSION.md; package.json; package-lock.json; CHANGELOG.md; CONTINUITY.md; feature_status_tracker.csv; .gitignore</x:v>
      </x:c>
      <x:c r="S76" s="14" t="str">
        <x:v>9d39b92</x:v>
      </x:c>
      <x:c r="T76" s="14" t="str">
        <x:v>Run npm test, npm run test:webmcp:evals, npm run test:webmcp:agent-evidence, npm run validate, npm run validate:submission, npm run test:stripe, go test ./..., and go vet ./....</x:v>
      </x:c>
      <x:c r="U76" s="14" t="str">
        <x:v>PASS — 15/15 cases produced complete records; metrics recompute to 12/15 strict exact, 14/15 required in order, 12/14 expected arguments, 4/5 literal no-tool, and 0 forbidden mutations.</x:v>
      </x:c>
      <x:c r="V76" s="14" t="str">
        <x:v>Verified</x:v>
      </x:c>
      <x:c r="W76" s="14" t="str">
        <x:v>No</x:v>
      </x:c>
      <x:c r="X76" s="14" t="str">
        <x:v>Single run per case at temperature 0. Model selection is probabilistic; this is observed performance, not a guarantee. The Inspector UI had no stored API key, so authenticated Vertex AI supplied the model while the extension supplied live tool discovery and execution.</x:v>
      </x:c>
      <x:c r="Y76" s="14" t="str">
        <x:v>Run the 15-case corpus through an actual WebMCP-capable agent and record model-selection accuracy.</x:v>
      </x:c>
    </x:row>
    <x:row r="77">
      <x:c r="A77" s="14" t="str">
        <x:v>RES-008</x:v>
      </x:c>
      <x:c r="B77" s="14" t="str">
        <x:v>Explicit-confirmation eval oracle consistency</x:v>
      </x:c>
      <x:c r="C77" s="14" t="str">
        <x:v>WebMCP evaluation safety boundary</x:v>
      </x:c>
      <x:c r="D77" s="14" t="str">
        <x:v>web/evals/webmcp-evals.json; qa_evidence/webmcp_agent_eval/latest.json; web/lib/webmcp.js</x:v>
      </x:c>
      <x:c r="E77" s="14" t="str">
        <x:v>sequence-orient-before-answer corpus case</x:v>
      </x:c>
      <x:c r="F77" s="14" t="str">
        <x:v>Maintainer and competition judge</x:v>
      </x:c>
      <x:c r="G77" s="14" t="str">
        <x:v>As a maintainer, I want evaluation expectations to preserve explicit human confirmation, so that a safe agent is not penalized for refusing an unauthorized answer mutation.</x:v>
      </x:c>
      <x:c r="H77" s="14" t="str">
        <x:v>No answer_reflection_question call occurs until the prompt contains an explicit human confirmation, matching the tool description and runtime guard.</x:v>
      </x:c>
      <x:c r="I77" s="14" t="str">
        <x:v>The frozen sequence-orient-before-answer oracle expects answer_reflection_question even though the prompt says “after I confirm” and contains no confirmation. Gemini stopped after explanation and asked the human to confirm.</x:v>
      </x:c>
      <x:c r="J77" s="14" t="str">
        <x:v>Needs Product Decision</x:v>
      </x:c>
      <x:c r="K77" s="14" t="str">
        <x:v>Corpus-policy consistency review from live model evidence</x:v>
      </x:c>
      <x:c r="L77" s="14" t="str">
        <x:v>Compare the prompt, expectedCalls, live call trace, answer tool description, and confirmed_by_user runtime guard.</x:v>
      </x:c>
      <x:c r="M77" s="14" t="str">
        <x:v>FAILED ORACLE CONSISTENCY — the expected mutation conflicts with the implemented confirmation boundary.</x:v>
      </x:c>
      <x:c r="N77" s="14" t="str">
        <x:v>The benchmark would reward a model for asserting confirmed_by_user=true before the user actually confirms.</x:v>
      </x:c>
      <x:c r="O77" s="14" t="str">
        <x:v>High</x:v>
      </x:c>
      <x:c r="P77" s="14" t="str">
        <x:v>Decide whether to change the prompt to include explicit confirmation or remove the answer call from the frozen expectation; preserve this first-run baseline.</x:v>
      </x:c>
      <x:c r="Q77" s="14" t="str">
        <x:v>None; the frozen corpus and its first live result remain unchanged to prevent post-hoc score inflation.</x:v>
      </x:c>
      <x:c r="R77" s="14" t="str">
        <x:v>feature_status_tracker.csv; WEBMCP_AGENT_EVAL_REPORT.html</x:v>
      </x:c>
      <x:c r="S77" s="14" t="str"/>
      <x:c r="T77" s="14" t="str">
        <x:v>After product decision, version the corpus and rerun all cases as a new evaluation; do not overwrite the v1 evidence.</x:v>
      </x:c>
      <x:c r="U77" s="14" t="str">
        <x:v>Not run pending product decision.</x:v>
      </x:c>
      <x:c r="V77" s="14" t="str">
        <x:v>Needs Product Decision</x:v>
      </x:c>
      <x:c r="W77" s="14" t="str">
        <x:v>Yes</x:v>
      </x:c>
      <x:c r="X77" s="14" t="str">
        <x:v>This is a benchmark defect, not evidence of unsafe model behavior. The observed model respected the product’s confirmation rule.</x:v>
      </x:c>
      <x:c r="Y77" s="14" t="str">
        <x:v>Run the 15-case corpus through an actual WebMCP-capable agent and record model-selection accuracy.</x:v>
      </x:c>
    </x:row>
    <x:row r="78">
      <x:c r="A78" s="14" t="str">
        <x:v>RES-009</x:v>
      </x:c>
      <x:c r="B78" s="14" t="str">
        <x:v>Campaign capability claim coverage</x:v>
      </x:c>
      <x:c r="C78" s="14" t="str">
        <x:v>WebMCP evaluation and public claims</x:v>
      </x:c>
      <x:c r="D78" s="14" t="str">
        <x:v>web/lib/webmcp.js; web/app.js; web/data/quiz.json; web/data/cards.json; web/data/shop.json; web/evals/webmcp-campaign-evals.json; WEBMCP_CAMPAIGN_CLAIM_AUDIT.html</x:v>
      </x:c>
      <x:c r="E78" s="14" t="str">
        <x:v>Public WebMCP campaign posts and live site</x:v>
      </x:c>
      <x:c r="F78" s="14" t="str">
        <x:v>Prospective visitor and competition judge</x:v>
      </x:c>
      <x:c r="G78" s="14" t="str">
        <x:v>As a prospective visitor, I want every advertised agent capability to match the live site, so that I know what the agent can do and which actions remain mine.</x:v>
      </x:c>
      <x:c r="H78" s="14" t="str">
        <x:v>Campaign scenarios map to the eight production tools and visible UI: guided 12-question reflection, plain-language explanation, explicitly confirmed answers with visible state changes, deterministic local scoring with one bounded action, Card 004 lookup, read-only digital-edition recommendation, and human-controlled Stripe checkout. Unsupported ephemeris, physical-deck, price, automatic diagnosis, and zero-server-leakage claims are explicitly rejected or rewritten.</x:v>
      </x:c>
      <x:c r="I78" s="14" t="str">
        <x:v>Production retains eight bounded tools. Supported reflection, Card 004, and digital-edition scenarios map to real tools. Unsupported ephemeris/Yellow Ray/transit, physical-deck/price, diagnosis, automatic email, cart, and payment claims are explicitly removed from publishable copy and covered as no-tool boundaries.</x:v>
      </x:c>
      <x:c r="J78" s="14" t="str">
        <x:v>Verified</x:v>
      </x:c>
      <x:c r="K78" s="14" t="str">
        <x:v>Source-to-claim audit + deterministic corpus + live browser-agent evaluation</x:v>
      </x:c>
      <x:c r="L78" s="14" t="str">
        <x:v>Map every numbered post/thread claim to production code and tool contracts; validate a dedicated campaign corpus; run each campaign prompt through the same live WebMCP-capable agent; verify supported calls, explicit-confirmation behavior, visible DOM synchronization, and no unsupported purchase, physical-product, ephemeris, or email claims.</x:v>
      </x:c>
      <x:c r="M78" s="14" t="str">
        <x:v>PASS — deterministic 10-case corpus validation; live Gemini 2.5 Flash + WebMCP Inspector run selected the exact expected tool sequence in 10/10 cases, preserved required order in 10/10, achieved strict call-and-argument equality in 8/10, and invoked no tool in 5/5 protected or unsupported cases. Campaign HTML/XML parsed; desktop and 390px mobile had no page overflow.</x:v>
      </x:c>
      <x:c r="N78" s="14" t="str">
        <x:v>Resolved — the supplied draft overstated the product with nonexistent ephemeris, Yellow Ray, diagnosis, physical-deck, fixed-price, autonomous-commerce, and universal zero-server-leakage claims.</x:v>
      </x:c>
      <x:c r="O78" s="14" t="str">
        <x:v>High</x:v>
      </x:c>
      <x:c r="P78" s="14" t="str">
        <x:v>Yes — completed.</x:v>
      </x:c>
      <x:c r="Q78" s="14" t="str">
        <x:v>Added a dedicated campaign corpus and validators, generalized the live runner for named corpora/evidence roots, ran the production-discovered eight-tool contract through Gemini, and generated a claim-status matrix plus corrected copy-ready post/thread without expanding tool authority.</x:v>
      </x:c>
      <x:c r="R78" s="14" t="str">
        <x:v>web/evals/webmcp-campaign-evals.json; scripts/validate-webmcp-campaign-evals.mjs; scripts/run-webmcp-agent-evals.mjs; scripts/validate-webmcp-campaign-agent-evidence.mjs; scripts/build-webmcp-campaign-claim-audit.mjs; WEBMCP_CAMPAIGN_CLAIM_AUDIT.html; README.md; SUBMISSION.md; package.json; CHANGELOG.md; qa_evidence/webmcp_campaign_agent_eval/**; qa_evidence/webmcp_campaign_claim_audit/**</x:v>
      </x:c>
      <x:c r="S78" s="14" t="str">
        <x:v>e74cc86</x:v>
      </x:c>
      <x:c r="T78" s="14" t="str">
        <x:v>Run npm run test:webmcp:campaign-evals, npm run test:webmcp:campaign-evidence, npm run test:webmcp:evals, npm test, npm run validate, npm run validate:submission; parse embedded XML; render at 1440px and 390px and assert document scroll width equals viewport.</x:v>
      </x:c>
      <x:c r="U78" s="14" t="str">
        <x:v>PASS — 10/10 tool-selection/order cases, 5/5 no-tool boundaries, 0 forbidden calls, 25/25 web tests, site validation, submission validation, HTML/XML parse, and responsive overflow checks.</x:v>
      </x:c>
      <x:c r="V78" s="14" t="str">
        <x:v>Verified</x:v>
      </x:c>
      <x:c r="W78" s="14" t="str">
        <x:v>No</x:v>
      </x:c>
      <x:c r="X78" s="14" t="str">
        <x:v>Strict 8/10 reflects two harmless argument normalizations: the model removed the possessive my from focus_area and omitted optional collection_scope, which defaulted to arc. Canonical live evidence: qa_evidence/webmcp_campaign_agent_eval/latest.json. Claim contract: WEBMCP_CAMPAIGN_CLAIM_AUDIT.html.</x:v>
      </x:c>
      <x:c r="Y78" s="14" t="str">
        <x:v>Make sure the proposed WebMCP master post and four-tweet thread cases are covered.</x:v>
      </x:c>
    </x:row>
    <x:row r="79">
      <x:c r="A79" s="14" t="str">
        <x:v>RES-010</x:v>
      </x:c>
      <x:c r="B79" s="14" t="str">
        <x:v>Six operational WebMCP use-case contracts</x:v>
      </x:c>
      <x:c r="C79" s="14" t="str">
        <x:v>WebMCP scenarios and public claims</x:v>
      </x:c>
      <x:c r="D79" s="14" t="str">
        <x:v>web/lib/webmcp.js; web/data/cards.json; web/data/shop.json; web/evals/webmcp-operational-use-cases.json; WEBMCP_OPERATIONAL_USE_CASES.html</x:v>
      </x:c>
      <x:c r="E79" s="14" t="str">
        <x:v>External-agent operational scenarios for mirrorloopai.com</x:v>
      </x:c>
      <x:c r="F79" s="14" t="str">
        <x:v>Founder, operator, developer, team lead, executive, and competition judge</x:v>
      </x:c>
      <x:c r="G79" s="14" t="str">
        <x:v>As a prospective user, I want concrete operational examples that use only real MIRROR//LOOP capabilities, so that I can understand how an agent helps without mistaking symbolic framing for diagnosis, astronomy, private evidence, or physical fulfillment.</x:v>
      </x:c>
      <x:c r="H79" s="14" t="str">
        <x:v>Each of the six scenarios maps to the existing eight-tool contract: founder deadlock uses reflection plus public card lookup; over-simulation uses Card 004 without diagnosis or transit claims; launch inertia uses public Card 001 without private Geneva commentary; sprint framing uses an explicitly chosen Card 003 rather than a current transit; team contradiction uses only the current session review; desk-anchor interest maps to a digital-edition recommendation with human-controlled Stripe review. Unsupported claims are visibly qualified.</x:v>
      </x:c>
      <x:c r="I79" s="14" t="str">
        <x:v>All six operational contexts now have corrected, production-reproducible flows. Card 006 uses its public title Future Geometry; card interpretation uses get_card; the current-session review stays single-user; the workspace recommendation is digital and price-free; diagnosis, transit, private commentary, physical fulfillment, cart, and payment claims are excluded.</x:v>
      </x:c>
      <x:c r="J79" s="14" t="str">
        <x:v>Verified</x:v>
      </x:c>
      <x:c r="K79" s="14" t="str">
        <x:v>Source-to-contract audit + six-case deterministic corpus + live browser-agent evaluation</x:v>
      </x:c>
      <x:c r="L79" s="14" t="str">
        <x:v>Map every action and output in all six scenarios to the production tool schema and public data; create one corrected reproducible flow per scenario; validate expected tools and boundaries; run all six prompts through the production-discovered WebMCP toolset; confirm no invented tools, private corpora, diagnosis, transit, physical product, price, cart, or payment claim.</x:v>
      </x:c>
      <x:c r="M79" s="14" t="str">
        <x:v>PASS — deterministic six-case validation; live Gemini 2.5 Flash + WebMCP Inspector evaluation achieved 6/6 exact cases, 8/8 exact calls, 100% required-order accuracy, and 100% argument agreement. HTML/XML parsing and 1440px/390px overflow checks passed.</x:v>
      </x:c>
      <x:c r="N79" s="14" t="str">
        <x:v>Resolved — every useful business context was retained while unsupported runtime, evidence, product, and authority claims were removed.</x:v>
      </x:c>
      <x:c r="O79" s="14" t="str">
        <x:v>High</x:v>
      </x:c>
      <x:c r="P79" s="14" t="str">
        <x:v>Yes — completed.</x:v>
      </x:c>
      <x:c r="Q79" s="14" t="str">
        <x:v>Added a frozen six-case operational corpus, live evaluation evidence, validators, and a self-contained StrategiX use-case artifact with one reproducible flow and explicit boundary per scenario.</x:v>
      </x:c>
      <x:c r="R79" s="14" t="str">
        <x:v>web/evals/webmcp-operational-use-cases.json; scripts/validate-webmcp-operational-use-cases.mjs; scripts/validate-webmcp-operational-evidence.mjs; scripts/build-webmcp-operational-use-cases.mjs; WEBMCP_OPERATIONAL_USE_CASES.html; README.md; SUBMISSION.md; scripts/validate-submission.mjs; package.json; CHANGELOG.md; qa_evidence/webmcp_operational_use_case_eval/**; qa_evidence/webmcp_operational_use_cases/**</x:v>
      </x:c>
      <x:c r="S79" s="14" t="str">
        <x:v>fa341e7</x:v>
      </x:c>
      <x:c r="T79" s="14" t="str">
        <x:v>Run npm run test:webmcp:operational-use-cases, npm run test:webmcp:operational-evidence, npm run validate:submission, the complete WebMCP/web/Stripe/Go regression suite, HTML/XML parsing, and desktop/mobile overflow checks.</x:v>
      </x:c>
      <x:c r="U79" s="14" t="str">
        <x:v>PASS — 6/6 exact live cases, 8/8 exact calls, zero invented calls, local validators pass, and the visual artifact renders without page overflow.</x:v>
      </x:c>
      <x:c r="V79" s="14" t="str">
        <x:v>Verified</x:v>
      </x:c>
      <x:c r="W79" s="14" t="str">
        <x:v>No</x:v>
      </x:c>
      <x:c r="X79" s="14" t="str">
        <x:v>Canonical evidence: qa_evidence/webmcp_operational_use_case_eval/latest.json. Visual contract: WEBMCP_OPERATIONAL_USE_CASES.html. The production tool count remains eight.</x:v>
      </x:c>
      <x:c r="Y79" s="14" t="str">
        <x:v>Six concrete, high-leverage WebMCP use cases for mirrorloopai.com across operational bottlenecks.</x:v>
      </x:c>
    </x:row>
    <x:row r="80">
      <x:c r="A80" s="14" t="str">
        <x:v>RES-011</x:v>
      </x:c>
      <x:c r="B80" s="14" t="str">
        <x:v>Competition 10/10 strategy claim hardening</x:v>
      </x:c>
      <x:c r="C80" s="14" t="str">
        <x:v>Competition narrative, security, architecture, and demo</x:v>
      </x:c>
      <x:c r="D80" s="14" t="str">
        <x:v>web/lib/webmcp.js; web/app.js; web/data/shop.json; SUBMISSION.md; WEBMCP_COMPETITION_HARDENING_AUDIT.html</x:v>
      </x:c>
      <x:c r="E80" s="14" t="str">
        <x:v>Devpost narrative, three-minute demo, and public architecture claims</x:v>
      </x:c>
      <x:c r="F80" s="14" t="str">
        <x:v>Competition judge, technical reviewer, and entrant</x:v>
      </x:c>
      <x:c r="G80" s="14" t="str">
        <x:v>As a competition judge, I want ambitious claims separated from implemented evidence, so that I can reward real WebMCP leverage without being misled by fictional tools, benchmarks, products, or privacy guarantees.</x:v>
      </x:c>
      <x:c r="H80" s="14" t="str">
        <x:v>The submission uses the real eight-tool contract, existing local-state events, strict schemas, 12-answer completion gate, public card registry, digital catalog, and explicit human transaction boundary. Numeric judging scores are not self-awarded. Unsupported dial events, sub-millisecond LST, Tool 9, P2P zero-knowledge, physical decks, x402, historical game-theoretic authority, ray diagnostics, and autonomous settlement are rejected or clearly labeled future concepts.</x:v>
      </x:c>
      <x:c r="I80" s="14" t="str">
        <x:v>The proposed strategy is now reconciled against inspected code and preserved evidence. A self-contained claim ledger classifies unsupported scores, events, astronomy, Tool 9/P2P, physical fulfillment, x402, and symbolic-science authority; preserves the eight real tools, three UI events, strict schemas, completion gate, digital catalog, and human payment boundary; and provides a corrected 2:35 demo and Devpost core.</x:v>
      </x:c>
      <x:c r="J80" s="14" t="str">
        <x:v>Verified</x:v>
      </x:c>
      <x:c r="K80" s="14" t="str">
        <x:v>Claim-to-code audit + security boundary regression + submission/document validation</x:v>
      </x:c>
      <x:c r="L80" s="14" t="str">
        <x:v>Map every matrix, architecture, security, dyadic, commerce, framing, storyboard, Devpost, and checklist claim to inspected code/data/evidence; preserve supported controls; generate a claim-status audit and corrected storyboard/copy; validate absence of invented capabilities in publishable text; run full WebMCP, submission, site, Stripe, and Go regressions plus HTML/XML and responsive checks.</x:v>
      </x:c>
      <x:c r="M80" s="14" t="str">
        <x:v>PASS — claim validator and submission validator passed; 11 embedded XML claim decisions parsed; desktop 1440px and mobile 390px renders had no horizontal overflow; complete WebMCP evaluation, web, Stripe, site, submission, Go test, and Go vet regressions passed.</x:v>
      </x:c>
      <x:c r="N80" s="14" t="str">
        <x:v>Resolved — unsupported perfect-score and nonexistent-capability claims are classified, excluded from publishable copy, or explicitly deferred.</x:v>
      </x:c>
      <x:c r="O80" s="14" t="str">
        <x:v>Critical</x:v>
      </x:c>
      <x:c r="P80" s="14" t="str">
        <x:v>Yes — completed.</x:v>
      </x:c>
      <x:c r="Q80" s="14" t="str">
        <x:v>Added a generated StrategiX claim-hardening audit, machine-readable claim ledger, corrected judge evidence map, 2:35 storyboard, Devpost core, release-freeze decision, validator, submission gate, documentation links, and responsive evidence.</x:v>
      </x:c>
      <x:c r="R80" s="14" t="str">
        <x:v>WEBMCP_COMPETITION_HARDENING_AUDIT.html; scripts/build-webmcp-competition-hardening-audit.mjs; scripts/validate-webmcp-competition-hardening.mjs; scripts/validate-submission.mjs; package.json; README.md; SUBMISSION.md; CHANGELOG.md; qa_evidence/webmcp_competition_hardening/**</x:v>
      </x:c>
      <x:c r="S80" s="14" t="str">
        <x:v>ddabacf</x:v>
      </x:c>
      <x:c r="T80" s="14" t="str">
        <x:v>Run all four WebMCP corpus/claim validators, all three preserved live-evidence validators, npm test, npm run test:stripe, npm run validate, npm run validate:submission, go test ./..., go vet ./..., embedded XML parsing, and desktop/mobile overflow checks.</x:v>
      </x:c>
      <x:c r="U80" s="14" t="str">
        <x:v>PASS — 15-case, 10-case, and 6-case suites and evidence validators passed; 25/25 web tests and 1/1 Stripe test passed; site/submission/Go gates passed; XML contained 11 claim decisions; 1440px and 390px scroll widths equaled their viewports.</x:v>
      </x:c>
      <x:c r="V80" s="14" t="str">
        <x:v>Verified</x:v>
      </x:c>
      <x:c r="W80" s="14" t="str">
        <x:v>No</x:v>
      </x:c>
      <x:c r="X80" s="14" t="str">
        <x:v>Canonical artifact: WEBMCP_COMPETITION_HARDENING_AUDIT.html. Responsive evidence: qa_evidence/webmcp_competition_hardening/. No ninth tool, P2P exchange, astronomical engine, physical fulfillment, x402, or autonomous payment was added. External operator gates remain pending.</x:v>
      </x:c>
      <x:c r="Y80" s="14" t="str">
        <x:v>Achieve an unassailable 10/10 across every WebMCP Challenge judging dimension using the supplied master evaluation matrix, architecture, storyboard, Devpost copy, and execution checklist.</x:v>
      </x:c>
    </x:row>
    <x:row r="81">
      <x:c r="A81" s="14" t="str">
        <x:v>RES-012</x:v>
      </x:c>
      <x:c r="B81" s="14" t="str">
        <x:v>Evidence-bounded judge panel orientation</x:v>
      </x:c>
      <x:c r="C81" s="14" t="str">
        <x:v>Competition presentation</x:v>
      </x:c>
      <x:c r="D81" s="14" t="str">
        <x:v>SUBMISSION.md; WEBMCP_JUDGE_PANEL_BRIEF.html; scripts/build-webmcp-judge-panel-brief.mjs; scripts/validate-submission.mjs</x:v>
      </x:c>
      <x:c r="E81" s="14" t="str">
        <x:v>Devpost submission package and repository evidence brief</x:v>
      </x:c>
      <x:c r="F81" s="14" t="str">
        <x:v>WebMCP Challenge judge</x:v>
      </x:c>
      <x:c r="G81" s="14" t="str">
        <x:v>As a WebMCP Challenge judge, I want the submission evidence organized around the panel’s relevant engineering disciplines, so that I can verify the project quickly without relying on personal profiling or unsupported technical claims.</x:v>
      </x:c>
      <x:c r="H81" s="14" t="str">
        <x:v>The submission names the user-provided panel roster, organizes existing evidence under browser safety, WebMCP contracts, web performance, privacy boundaries, modern web delivery, and applied product value, labels role-based lenses as orientation rather than psychographic fact, and explicitly rejects undeployed astronomy, P2P, physical-product, zero-telemetry, bundle-size, and benchmark claims.</x:v>
      </x:c>
      <x:c r="I81" s="14" t="str">
        <x:v>PASS — the official challenge page confirms all seven names and titles; the new brief organizes six reproducible evidence paths while explicitly excluding unsupported personal and technical claims.</x:v>
      </x:c>
      <x:c r="J81" s="14" t="str">
        <x:v>Fixed</x:v>
      </x:c>
      <x:c r="K81" s="14" t="str">
        <x:v>Documentation claim audit + HTML/XML validation + submission regression</x:v>
      </x:c>
      <x:c r="L81" s="14" t="str">
        <x:v>Verify the panel roster against the official challenge surface where available; compare every proposed capability with source and preserved runtime evidence; parse the self-contained HTML and embedded XML; run submission, WebMCP, site, Stripe, and Go regression gates.</x:v>
      </x:c>
      <x:c r="M81" s="14" t="str">
        <x:v>PASS — official roster/source capture, claim-to-code baseline, generated HTML/XML contract, 1440 px and 390 px browser renders, and full regression evidence are preserved under qa_evidence/webmcp_judge_panel/.</x:v>
      </x:c>
      <x:c r="N81" s="14" t="str">
        <x:v>Resolved — judge orientation now relies on public roles and implemented evidence rather than alleged preferences or future capabilities.</x:v>
      </x:c>
      <x:c r="O81" s="14" t="str">
        <x:v>High</x:v>
      </x:c>
      <x:c r="P81" s="14" t="str">
        <x:v>Yes — completed.</x:v>
      </x:c>
      <x:c r="Q81" s="14" t="str">
        <x:v>Added a generated StrategiX judge-panel brief, official-source provenance, six role-oriented evidence paths, measured module sizes, an explicit exclusion ledger, deterministic validation, and submission-package links.</x:v>
      </x:c>
      <x:c r="R81" s="14" t="str">
        <x:v>WEBMCP_JUDGE_PANEL_BRIEF.html; scripts/build-webmcp-judge-panel-brief.mjs; scripts/validate-webmcp-judge-panel-brief.mjs; scripts/validate-submission.mjs; package.json; README.md; SUBMISSION.md; CHANGELOG.md; qa_evidence/webmcp_judge_panel/**; feature_status_tracker.csv</x:v>
      </x:c>
      <x:c r="S81" s="14" t="str">
        <x:v>7a91f15</x:v>
      </x:c>
      <x:c r="T81" s="14" t="str">
        <x:v>Run the judge-panel and submission validators, all WebMCP corpus/evidence validators, npm test, Stripe test, site validation, go test, go vet, embedded XML parsing, and desktop/mobile no-overflow checks.</x:v>
      </x:c>
      <x:c r="U81" s="14" t="str">
        <x:v>PASS — panel brief and submission validation passed; all 25 web tests and 1 Stripe test passed; all WebMCP corpus/evidence gates, site validation, Go tests, Go vet, XML parse, seven-row panel render, and responsive no-overflow checks passed.</x:v>
      </x:c>
      <x:c r="V81" s="14" t="str">
        <x:v>Verified</x:v>
      </x:c>
      <x:c r="W81" s="14" t="str">
        <x:v>No</x:v>
      </x:c>
      <x:c r="X81" s="14" t="str">
        <x:v>Official source capture: qa_evidence/webmcp_judge_panel/official-source.txt. Canonical brief: WEBMCP_JUDGE_PANEL_BRIEF.html. The artifact does not claim knowledge of judges’ private preferences or predict scores.</x:v>
      </x:c>
      <x:c r="Y81" s="14" t="str">
        <x:v>Tailor the MIRROR//LOOP WebMCP submission to the listed judging panel while preserving an evidence-bounded architecture and narrative.</x:v>
      </x:c>
    </x:row>
    <x:row r="82">
      <x:c r="A82" s="14" t="str">
        <x:v>RES-013</x:v>
      </x:c>
      <x:c r="B82" s="14" t="str">
        <x:v>Chrome motion and accessibility claim integrity</x:v>
      </x:c>
      <x:c r="C82" s="14" t="str">
        <x:v>Competition presentation and browser UX</x:v>
      </x:c>
      <x:c r="D82" s="14" t="str">
        <x:v>web/index.html; web/app.js; web/styles.css; SUBMISSION.md; WEBMCP_JUDGE_PANEL_BRIEF.html</x:v>
      </x:c>
      <x:c r="E82" s="14" t="str">
        <x:v>Live reflection UI and Chrome-oriented demo narrative</x:v>
      </x:c>
      <x:c r="F82" s="14" t="str">
        <x:v>Chrome platform judge and accessibility-conscious visitor</x:v>
      </x:c>
      <x:c r="G82" s="14" t="str">
        <x:v>As a Chrome platform judge or accessibility-conscious visitor, I want motion, Origin Trial, and accessibility claims to match the deployed interface, so that I can evaluate real browser craftsmanship rather than an invented SVG demonstration.</x:v>
      </x:c>
      <x:c r="H82" s="14" t="str">
        <x:v>The submission identifies the real CSS progress transition, semantic progressbar, status/live regions, focus movement, Origin Trial token, feature-detection fallback, and visible WebMCP state; it does not claim an SVG radial dial, requestAnimationFrame, compositor-only execution, zero paints, 60 fps, zero setup friction, or a dependency-free total bundle without measured evidence.</x:v>
      </x:c>
      <x:c r="I82" s="14" t="str">
        <x:v>PASS — the submission now presents the real browser UX: semantic 12-step progress, aria-valuenow updates, question/result focus, polite status/result regions, reduced-motion behavior, awaited model-context registration, the Origin Trial token, and direct-use fallback. The Chrome claim ledger explicitly classifies the invented SVG/rAF/compositor/performance and zero-setup statements as contradicted, unmeasured, unresolved, qualified, or excluded.</x:v>
      </x:c>
      <x:c r="J82" s="14" t="str">
        <x:v>Fixed</x:v>
      </x:c>
      <x:c r="K82" s="14" t="str">
        <x:v>Source-to-claim audit + browser accessibility/animation inspection + submission regression</x:v>
      </x:c>
      <x:c r="L82" s="14" t="str">
        <x:v>Inspect HTML/CSS/JS for SVG, rAF, transform, ARIA, focus, events, and Origin Trial integration; run browser checks for semantic roles and reduced-motion behavior; classify every proposed claim before implementation.</x:v>
      </x:c>
      <x:c r="M82" s="14" t="str">
        <x:v>FAIL — source and reduced-motion browser baseline contradict the proposed SVG/compositor performance narrative. Supported browser craftsmanship exists but is not yet documented as a reproducible Chrome UX claim ledger. Evidence: qa_evidence/webmcp_chrome_ux/baseline.txt; qa_evidence/webmcp_chrome_ux/baseline-browser.json; qa_evidence/webmcp_chrome_ux/baseline-mobile.png.</x:v>
      </x:c>
      <x:c r="N82" s="14" t="str">
        <x:v>Submission-integrity risk: proposed judge-targeted copy would attribute unsupported personal preferences and advertise browser mechanisms/performance measurements that are absent or unmeasured.</x:v>
      </x:c>
      <x:c r="O82" s="14" t="str">
        <x:v>High</x:v>
      </x:c>
      <x:c r="P82" s="14" t="str">
        <x:v>Yes — add a generated evidence ledger and corrected demo guidance using only implemented progress, ARIA, focus, reduced-motion, CustomEvent, feature-detection, and Origin Trial facts; qualify setup and dependency claims.</x:v>
      </x:c>
      <x:c r="Q82" s="14" t="str">
        <x:v>Added a generated Chrome motion/accessibility claim ledger, corrected the demo narration and README boundaries, extended the StrategiX XML contract, and added a deterministic Chrome UX claim validator. No fictitious dial or unmeasured performance implementation was added.</x:v>
      </x:c>
      <x:c r="R82" s="14" t="str">
        <x:v>WEBMCP_JUDGE_PANEL_BRIEF.html; scripts/build-webmcp-judge-panel-brief.mjs; scripts/validate-webmcp-judge-panel-brief.mjs; scripts/validate-webmcp-chrome-ux.mjs; scripts/validate-submission.mjs; SUBMISSION.md; README.md; package.json; CHANGELOG.md; qa_evidence/webmcp_chrome_ux/**; feature_status_tracker.csv</x:v>
      </x:c>
      <x:c r="S82" s="14" t="str">
        <x:v>c6e7d4d</x:v>
      </x:c>
      <x:c r="T82" s="14" t="str">
        <x:v>Run npm run test:webmcp:chrome-ux, judge-panel and submission validators, all WebMCP corpus/evidence validators, npm test, Stripe/site validation, go test, and go vet; inspect desktop and 390 px app/brief renders with reduced motion and check focus, aria-valuenow, live regions, console errors, and overflow.</x:v>
      </x:c>
      <x:c r="U82" s="14" t="str">
        <x:v>PASS — deterministic claim, judge-panel, and submission gates passed; 25/25 web tests and 1/1 Stripe test passed; all WebMCP corpus/evidence validators, site validation, Go tests, and Go vet passed. Desktop and 390 px browser checks showed question-title focus, aria-valuenow=2, transitionDuration=0s under reduced motion, two polite live regions, zero SVG/canvas elements, zero overflow, and zero console errors. Production HTTP returned 200 with Origin Trial, status, progressbar, and live-region markup.</x:v>
      </x:c>
      <x:c r="V82" s="14" t="str">
        <x:v>Verified</x:v>
      </x:c>
      <x:c r="W82" s="14" t="str">
        <x:v>No</x:v>
      </x:c>
      <x:c r="X82" s="14" t="str">
        <x:v>Initial failure retained in Test Result and qa_evidence/webmcp_chrome_ux/baseline*. A normal headless Chrome run did not expose modelContext despite the local token, so zero-flag access remains intentionally unclaimed. The verified judge path continues to document Chrome 149 plus the testing flag. No public app runtime was changed or deployed in this pass.</x:v>
      </x:c>
      <x:c r="Y82" s="14" t="str">
        <x:v>Tailor the submission to Sarah Drasner using SVG animation, Chrome Origin Trial, accessibility, and motion-performance claims.</x:v>
      </x:c>
    </x:row>
    <x:row r="83">
      <x:c r="A83" s="14" t="str">
        <x:v>RES-014</x:v>
      </x:c>
      <x:c r="B83" s="14" t="str">
        <x:v>Six-role judge claim reconciliation</x:v>
      </x:c>
      <x:c r="C83" s="14" t="str">
        <x:v>Competition presentation, architecture, privacy, performance, and commerce</x:v>
      </x:c>
      <x:c r="D83" s="14" t="str">
        <x:v>web/lib/webmcp.js; web/app.js; web/lib/analytics.js; web/data/shop.json; README.md; SUBMISSION.md; WEBMCP_JUDGE_PANEL_BRIEF.html</x:v>
      </x:c>
      <x:c r="E83" s="14" t="str">
        <x:v>Judge evidence brief and Devpost technical narrative</x:v>
      </x:c>
      <x:c r="F83" s="14" t="str">
        <x:v>WebMCP Challenge judge and technical reviewer</x:v>
      </x:c>
      <x:c r="G83" s="14" t="str">
        <x:v>As a WebMCP Challenge judge, I want role-relevant claims about safety, tool design, performance, privacy, frontend architecture, and commercial utility tied to reproducible evidence, so that I can evaluate the real product without personal profiling or fictional capabilities.</x:v>
      </x:c>
      <x:c r="H83" s="14" t="str">
        <x:v>The submission maps the six remaining public roles to implemented evidence: explicit answer and commerce authority boundaries; strict eight-tool schemas and completion gating; measured source-module sizes without invented kinematics benchmarks; browser-local reflection with disclosed analytics/email/Stripe egress; modular vanilla ESM with real direct state adapters and CustomEvents; and a static-first digital-commerce funnel with human-controlled Stripe. It rejects private-preference claims, a ninth/physical-deck tool, structured error envelopes not returned by the runtime, under-20KB/zero-network assertions, astronomy, dyadic/P2P tokens, zero telemetry/database/compute, pure event-only reactivity, physical products/prices, and guaranteed scores.</x:v>
      </x:c>
      <x:c r="I83" s="14" t="str">
        <x:v>PASS — the generated judge brief now contains six visible and machine-readable role evidence paths. Each path distinguishes supported behavior from a correction and gives a reproducible judge check. README and submission copy point reviewers to the matrix without adopting private-preference, fictional feature, absolute privacy/cost, physical-product, or guaranteed-score claims.</x:v>
      </x:c>
      <x:c r="J83" s="14" t="str">
        <x:v>Fixed</x:v>
      </x:c>
      <x:c r="K83" s="14" t="str">
        <x:v>Source-to-claim audit + generated StrategiX matrix + browser/submission regression</x:v>
      </x:c>
      <x:c r="L83" s="14" t="str">
        <x:v>Inventory every supplied claim; map each to current source, public data, preserved browser evidence, or an explicit contradiction/qualification; verify public-role framing contains no private psychographic claims; validate generated HTML/XML and submission text; retest all affected behavior.</x:v>
      </x:c>
      <x:c r="M83" s="14" t="str">
        <x:v>FAIL — the existing brief provides general evidence paths and exclusions, but not a complete six-role claim-by-claim reconciliation. Source evidence and contradictions are preserved in qa_evidence/webmcp_six_role_claims/baseline.txt.</x:v>
      </x:c>
      <x:c r="N83" s="14" t="str">
        <x:v>Submission-integrity risk: adopting the supplied text would advertise nonexistent tools, runtime modules, error shapes, privacy guarantees, products, benchmarks, and personal knowledge of judges.</x:v>
      </x:c>
      <x:c r="O83" s="14" t="str">
        <x:v>High</x:v>
      </x:c>
      <x:c r="P83" s="14" t="str">
        <x:v>Yes — generate a six-role evidence matrix with supported evidence, explicit corrections, and reproducible checks; add concise README/submission guidance and deterministic prohibited-claim validation.</x:v>
      </x:c>
      <x:c r="Q83" s="14" t="str">
        <x:v>Added six public-role evidence cards and six embedded XML Role records; expanded source provenance; added README/submission guidance, prohibited-claim assertions, and the test:webmcp:six-role-claims gate. Runtime tool and commerce authority were not expanded.</x:v>
      </x:c>
      <x:c r="R83" s="14" t="str">
        <x:v>WEBMCP_JUDGE_PANEL_BRIEF.html; scripts/build-webmcp-judge-panel-brief.mjs; scripts/validate-webmcp-judge-panel-brief.mjs; scripts/validate-webmcp-six-role-claims.mjs; scripts/validate-submission.mjs; README.md; SUBMISSION.md; package.json; CHANGELOG.md; qa_evidence/webmcp_six_role_claims/**; feature_status_tracker.csv</x:v>
      </x:c>
      <x:c r="S83" s="14" t="str">
        <x:v>fe40fe4</x:v>
      </x:c>
      <x:c r="T83" s="14" t="str">
        <x:v>Run the six-role, judge-panel, Chrome UX, competition, corpus/evidence, site, submission, Stripe, and Go gates; render the StrategiX brief at 1440 px and 390 px; count visible role cards and XML Role records; check overflow and console output.</x:v>
      </x:c>
      <x:c r="U83" s="14" t="str">
        <x:v>PASS — six-role, judge-panel, Chrome UX, submission, and all adjacent regression gates passed. The full suite passed 25/25 web tests, 1/1 Stripe test, all WebMCP corpus/evidence checks, site validation, Go tests, and Go vet. Desktop and mobile each rendered six role cards and six XML Role records with zero overflow and zero console errors.</x:v>
      </x:c>
      <x:c r="V83" s="14" t="str">
        <x:v>Verified</x:v>
      </x:c>
      <x:c r="W83" s="14" t="str">
        <x:v>No</x:v>
      </x:c>
      <x:c r="X83" s="14" t="str">
        <x:v>Baseline failure is preserved in Test Result and qa_evidence/webmcp_six_role_claims/baseline.txt. The public role is used only as a navigation lens. No judge preference, likely score, new tool, astronomy module, P2P protocol, physical catalog item, or infrastructure migration was inferred or implemented.</x:v>
      </x:c>
      <x:c r="Y83" s="14" t="str">
        <x:v>Reconcile the supplied deep-dive profiles and architectural flexes for Justin Rushing, Alex Nahas, Ilya Grigorik, Andrew Galloni, Jude Gao, and Sean Roberts.</x:v>
      </x:c>
    </x:row>
  </x:sheetData>
  <x:dataValidations count="4">
    <x:dataValidation type="list" sqref="J2:J83">
      <x:formula1>"Not Reviewed,Story Drafted,Ready For Test,Failed Test,Fix In Progress,Fixed,Retest Failed,Verified,Blocked,Needs Product Decision"</x:formula1>
    </x:dataValidation>
    <x:dataValidation type="list" sqref="O2:O83">
      <x:formula1>"Critical,High,Medium,Low,None"</x:formula1>
    </x:dataValidation>
    <x:dataValidation type="list" sqref="K2:K83">
      <x:formula1>"Code Review,Manual UI,Automated Test,Smoke Test,Regression Test,Accessibility Review,Responsive Review,Integration Test"</x:formula1>
    </x:dataValidation>
    <x:dataValidation type="list" sqref="V2:V83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COUNTA('Tracker'!$A$2:$A$83)</x:f>
        <x:v>82</x:v>
      </x:c>
      <x:c r="D4" s="21" t="str">
        <x:v>Critical</x:v>
      </x:c>
      <x:c r="E4" s="21" t="n">
        <x:f>COUNTIFS('Tracker'!$O$2:$O$83,"Critical",'Tracker'!$V$2:$V$83,"&lt;&gt;Verified")</x:f>
        <x:v>4</x:v>
      </x:c>
    </x:row>
    <x:row r="5" ht="22" customHeight="1">
      <x:c r="A5" s="21" t="str">
        <x:v>Current Verified</x:v>
      </x:c>
      <x:c r="B5" s="21" t="n">
        <x:f>COUNTIF('Tracker'!$J$2:$J$83,"Verified")</x:f>
        <x:v>56</x:v>
      </x:c>
      <x:c r="D5" s="21" t="str">
        <x:v>High</x:v>
      </x:c>
      <x:c r="E5" s="21" t="n">
        <x:f>COUNTIFS('Tracker'!$O$2:$O$83,"High",'Tracker'!$V$2:$V$83,"&lt;&gt;Verified")</x:f>
        <x:v>1</x:v>
      </x:c>
    </x:row>
    <x:row r="6" ht="22" customHeight="1">
      <x:c r="A6" s="21" t="str">
        <x:v>Failed Test</x:v>
      </x:c>
      <x:c r="B6" s="21" t="n">
        <x:f>COUNTIF('Tracker'!$J$2:$J$83,"Failed Test")</x:f>
        <x:v>1</x:v>
      </x:c>
      <x:c r="D6" s="21" t="str">
        <x:v>Medium</x:v>
      </x:c>
      <x:c r="E6" s="21" t="n">
        <x:f>COUNTIFS('Tracker'!$O$2:$O$83,"Medium",'Tracker'!$V$2:$V$83,"&lt;&gt;Verified")</x:f>
        <x:v>0</x:v>
      </x:c>
    </x:row>
    <x:row r="7" ht="22" customHeight="1">
      <x:c r="A7" s="21" t="str">
        <x:v>Fix In Progress</x:v>
      </x:c>
      <x:c r="B7" s="21" t="n">
        <x:f>COUNTIF('Tracker'!$J$2:$J$83,"Fix In Progress")</x:f>
        <x:v>0</x:v>
      </x:c>
      <x:c r="D7" s="21" t="str">
        <x:v>Low</x:v>
      </x:c>
      <x:c r="E7" s="21" t="n">
        <x:f>COUNTIFS('Tracker'!$O$2:$O$83,"Low",'Tracker'!$V$2:$V$83,"&lt;&gt;Verified")</x:f>
        <x:v>0</x:v>
      </x:c>
    </x:row>
    <x:row r="8" ht="22" customHeight="1">
      <x:c r="A8" s="21" t="str">
        <x:v>Fixed</x:v>
      </x:c>
      <x:c r="B8" s="21" t="n">
        <x:f>COUNTIF('Tracker'!$J$2:$J$83,"Fixed")</x:f>
        <x:v>21</x:v>
      </x:c>
      <x:c r="D8" s="21" t="str">
        <x:v>Needs Product Decision</x:v>
      </x:c>
      <x:c r="E8" s="21" t="n">
        <x:f>COUNTIF('Tracker'!$W$2:$W$83,"Yes")</x:f>
        <x:v>1</x:v>
      </x:c>
    </x:row>
    <x:row r="9" ht="22" customHeight="1">
      <x:c r="A9" s="21" t="str">
        <x:v>Final Verified</x:v>
      </x:c>
      <x:c r="B9" s="21" t="n">
        <x:f>COUNTIF('Tracker'!$V$2:$V$83,"Verified")</x:f>
        <x:v>77</x:v>
      </x:c>
      <x:c r="D9" s="21" t="str">
        <x:v>Rows With Commit Hash</x:v>
      </x:c>
      <x:c r="E9" s="21" t="n">
        <x:v>50</x:v>
      </x:c>
    </x:row>
    <x:row r="10" ht="22" customHeight="1">
      <x:c r="A10" s="21" t="str">
        <x:v>Blocked</x:v>
      </x:c>
      <x:c r="B10" s="21" t="n">
        <x:f>COUNTIF('Tracker'!$V$2:$V$83,"Blocked")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