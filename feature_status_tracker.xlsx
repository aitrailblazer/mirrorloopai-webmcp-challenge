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f8391f08fd14d75" /></Relationships>
</file>

<file path=xl/workbook.xml><?xml version="1.0" encoding="utf-8"?>
<x:workbook xmlns:x="http://schemas.openxmlformats.org/spreadsheetml/2006/main">
  <x:sheets>
    <x:sheet xmlns:r="http://schemas.openxmlformats.org/officeDocument/2006/relationships" name="Tracker" sheetId="1" r:id="Rf1f7d801772e49cc"/>
    <x:sheet xmlns:r="http://schemas.openxmlformats.org/officeDocument/2006/relationships" name="Dashboard" sheetId="2" r:id="R1e79eb5ee0fe4aee"/>
    <x:sheet xmlns:r="http://schemas.openxmlformats.org/officeDocument/2006/relationships" name="Lists" sheetId="3" r:id="R0130da51975b41e2"/>
    <x:sheet xmlns:r="http://schemas.openxmlformats.org/officeDocument/2006/relationships" name="Instructions" sheetId="4" r:id="R290d3afaf38045a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a2dd698048c462b" /><Relationship Type="http://schemas.openxmlformats.org/officeDocument/2006/relationships/theme" Target="/xl/theme/theme1.xml" Id="Rd9d75d9367ac4aa1" /><Relationship Type="http://schemas.openxmlformats.org/officeDocument/2006/relationships/sharedStrings" Target="/xl/sharedStrings.xml" Id="R778ab1b520114ecb" /><Relationship Type="http://schemas.openxmlformats.org/officeDocument/2006/relationships/worksheet" Target="/xl/worksheets/sheet1.xml" Id="Rf1f7d801772e49cc" /><Relationship Type="http://schemas.openxmlformats.org/officeDocument/2006/relationships/worksheet" Target="/xl/worksheets/sheet2.xml" Id="R1e79eb5ee0fe4aee" /><Relationship Type="http://schemas.openxmlformats.org/officeDocument/2006/relationships/worksheet" Target="/xl/worksheets/sheet3.xml" Id="R0130da51975b41e2" /><Relationship Type="http://schemas.openxmlformats.org/officeDocument/2006/relationships/worksheet" Target="/xl/worksheets/sheet4.xml" Id="R290d3afaf38045a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row r="95">
      <x:c r="A95" s="14" t="str">
        <x:v>WM-018</x:v>
      </x:c>
      <x:c r="B95" s="14" t="str">
        <x:v>One-command WebMCP evaluation runner</x:v>
      </x:c>
      <x:c r="C95" s="14" t="str">
        <x:v>WebMCP developer verification</x:v>
      </x:c>
      <x:c r="D95" s="14" t="str">
        <x:v>package.json; scripts/test-webmcp-eval.mjs; .github/workflows/webmcp-eval.yml; README.md; SUBMISSION.md</x:v>
      </x:c>
      <x:c r="E95" s="14" t="str">
        <x:v>npm run test:webmcp; npm run test:webmcp-eval</x:v>
      </x:c>
      <x:c r="F95" s="14" t="str">
        <x:v>Competition judge or repository contributor</x:v>
      </x:c>
      <x:c r="G95" s="14" t="str">
        <x:v>As a competition judge or contributor, I want one documented command to run the WebMCP regression benchmark, so that I can verify registration, consent, completion, output, and commerce boundaries without manual setup.</x:v>
      </x:c>
      <x:c r="H95" s="14"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5" s="14"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5" s="14" t="str">
        <x:v>Fixed</x:v>
      </x:c>
      <x:c r="K95" s="14" t="str">
        <x:v>CLI integration + headless browser + CI configuration</x:v>
      </x:c>
      <x:c r="L95" s="14"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5" s="14"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5" s="14" t="str">
        <x:v>Resolved — the first runner draft inspected a nonexistent browser-storage key; the canonical mirrorloop.reflection.answers.v1 record is now used. No app defect was found by this failure.</x:v>
      </x:c>
      <x:c r="O95" s="14" t="str">
        <x:v>Medium</x:v>
      </x:c>
      <x:c r="P95" s="14" t="str">
        <x:v>No — implementation and runner repair are complete.</x:v>
      </x:c>
      <x:c r="Q95" s="14" t="str">
        <x:v>Yes — added the self-hosting headless evaluator, package aliases, failure receipts, CI workflow, documentation, submission validation, and corrected storage inspection.</x:v>
      </x:c>
      <x:c r="R95" s="14" t="str">
        <x:v>scripts/test-webmcp-eval.mjs; package.json; .github/workflows/webmcp-eval.yml; README.md; SUBMISSION.md; scripts/validate-submission.mjs; CHANGELOG.md; qa_evidence/webmcp_ci_eval/; feature_status_tracker.csv; feature_status_tracker.xlsx; feature_status_tracker.html; feature_qa_report.md</x:v>
      </x:c>
      <x:c r="S95" s="14" t="str">
        <x:v>Pending WM-018 implementation commit</x:v>
      </x:c>
      <x:c r="T95" s="14"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5" s="14" t="str">
        <x:v>PASS — both command names passed locally; the production-targeted run passed; the forced failure exited 1 and emitted a FAIL receipt; 46/46 web tests, site validation, submission validation, and JavaScript syntax checks passed. Workflow contract checks are included in validate:submission. Remote GitHub Actions execution awaits the push.</x:v>
      </x:c>
      <x:c r="V95" s="14" t="str">
        <x:v>Verified</x:v>
      </x:c>
      <x:c r="W95" s="14" t="str">
        <x:v>No</x:v>
      </x:c>
      <x:c r="X95" s="14"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GitHub Actions run status will be observable after push.</x:v>
      </x:c>
      <x:c r="Y95" s="14" t="str">
        <x:v>Automated CI/CD WebMCP Evaluation Runner: provide a one-command headless benchmark for registration, budgets, human confirmation, premature completion, and safe commerce.</x:v>
      </x:c>
    </x:row>
  </x:sheetData>
  <x:dataValidations count="4">
    <x:dataValidation type="list" sqref="J2:J95">
      <x:formula1>"Not Reviewed,Story Drafted,Ready For Test,Failed Test,Fix In Progress,Fixed,Retest Failed,Verified,Blocked,Needs Product Decision"</x:formula1>
    </x:dataValidation>
    <x:dataValidation type="list" sqref="O2:O95">
      <x:formula1>"Critical,High,Medium,Low,None"</x:formula1>
    </x:dataValidation>
    <x:dataValidation type="list" sqref="K2:K95">
      <x:formula1>"Code Review,Manual UI,Automated Test,Smoke Test,Regression Test,Accessibility Review,Responsive Review,Integration Test"</x:formula1>
    </x:dataValidation>
    <x:dataValidation type="list" sqref="V2:V95">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COUNTA('Tracker'!$A$2:$A$95)</x:f>
        <x:v>94</x:v>
      </x:c>
      <x:c r="D4" s="21" t="str">
        <x:v>Critical</x:v>
      </x:c>
      <x:c r="E4" s="21" t="n">
        <x:f>COUNTIFS('Tracker'!$O$2:$O$95,"Critical",'Tracker'!$V$2:$V$95,"&lt;&gt;Verified")</x:f>
        <x:v>4</x:v>
      </x:c>
    </x:row>
    <x:row r="5" ht="22" customHeight="1">
      <x:c r="A5" s="21" t="str">
        <x:v>Current Verified</x:v>
      </x:c>
      <x:c r="B5" s="21" t="n">
        <x:f>COUNTIF('Tracker'!$J$2:$J$95,"Verified")</x:f>
        <x:v>63</x:v>
      </x:c>
      <x:c r="D5" s="21" t="str">
        <x:v>High</x:v>
      </x:c>
      <x:c r="E5" s="21" t="n">
        <x:f>COUNTIFS('Tracker'!$O$2:$O$95,"High",'Tracker'!$V$2:$V$95,"&lt;&gt;Verified")</x:f>
        <x:v>2</x:v>
      </x:c>
    </x:row>
    <x:row r="6" ht="22" customHeight="1">
      <x:c r="A6" s="21" t="str">
        <x:v>Failed Test</x:v>
      </x:c>
      <x:c r="B6" s="21" t="n">
        <x:f>COUNTIF('Tracker'!$J$2:$J$95,"Failed Test")</x:f>
        <x:v>1</x:v>
      </x:c>
      <x:c r="D6" s="21" t="str">
        <x:v>Medium</x:v>
      </x:c>
      <x:c r="E6" s="21" t="n">
        <x:f>COUNTIFS('Tracker'!$O$2:$O$95,"Medium",'Tracker'!$V$2:$V$95,"&lt;&gt;Verified")</x:f>
        <x:v>0</x:v>
      </x:c>
    </x:row>
    <x:row r="7" ht="22" customHeight="1">
      <x:c r="A7" s="21" t="str">
        <x:v>Fix In Progress</x:v>
      </x:c>
      <x:c r="B7" s="21" t="n">
        <x:f>COUNTIF('Tracker'!$J$2:$J$95,"Fix In Progress")</x:f>
        <x:v>0</x:v>
      </x:c>
      <x:c r="D7" s="21" t="str">
        <x:v>Low</x:v>
      </x:c>
      <x:c r="E7" s="21" t="n">
        <x:f>COUNTIFS('Tracker'!$O$2:$O$95,"Low",'Tracker'!$V$2:$V$95,"&lt;&gt;Verified")</x:f>
        <x:v>0</x:v>
      </x:c>
    </x:row>
    <x:row r="8" ht="22" customHeight="1">
      <x:c r="A8" s="21" t="str">
        <x:v>Fixed</x:v>
      </x:c>
      <x:c r="B8" s="21" t="n">
        <x:f>COUNTIF('Tracker'!$J$2:$J$95,"Fixed")</x:f>
        <x:v>25</x:v>
      </x:c>
      <x:c r="D8" s="21" t="str">
        <x:v>Needs Product Decision</x:v>
      </x:c>
      <x:c r="E8" s="21" t="n">
        <x:f>COUNTIF('Tracker'!$W$2:$W$95,"Yes")</x:f>
        <x:v>1</x:v>
      </x:c>
    </x:row>
    <x:row r="9" ht="22" customHeight="1">
      <x:c r="A9" s="21" t="str">
        <x:v>Final Verified</x:v>
      </x:c>
      <x:c r="B9" s="21" t="n">
        <x:f>COUNTIF('Tracker'!$V$2:$V$95,"Verified")</x:f>
        <x:v>88</x:v>
      </x:c>
      <x:c r="D9" s="21" t="str">
        <x:v>Rows With Commit Hash</x:v>
      </x:c>
      <x:c r="E9" s="21" t="n">
        <x:v>61</x:v>
      </x:c>
    </x:row>
    <x:row r="10" ht="22" customHeight="1">
      <x:c r="A10" s="21" t="str">
        <x:v>Blocked</x:v>
      </x:c>
      <x:c r="B10" s="21" t="n">
        <x:f>COUNTIF('Tracker'!$V$2:$V$95,"Blocked")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